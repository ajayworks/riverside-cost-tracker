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singh/Library/Application Support/Microsoft/"/>
    </mc:Choice>
  </mc:AlternateContent>
  <xr:revisionPtr revIDLastSave="0" documentId="13_ncr:1_{92D45BF4-2DB0-574F-94AC-ED6F169D225F}" xr6:coauthVersionLast="47" xr6:coauthVersionMax="47" xr10:uidLastSave="{00000000-0000-0000-0000-000000000000}"/>
  <bookViews>
    <workbookView xWindow="0" yWindow="0" windowWidth="28800" windowHeight="18000" activeTab="5" xr2:uid="{8B75C85C-4101-1946-9BF4-708ABAF51156}"/>
  </bookViews>
  <sheets>
    <sheet name="Project Info" sheetId="1" r:id="rId1"/>
    <sheet name="Budget" sheetId="2" r:id="rId2"/>
    <sheet name="Actuals" sheetId="3" r:id="rId3"/>
    <sheet name="Forecast" sheetId="4" r:id="rId4"/>
    <sheet name="Cost summary" sheetId="5" r:id="rId5"/>
    <sheet name="Change Log" sheetId="6" r:id="rId6"/>
    <sheet name="Risk Register" sheetId="7" r:id="rId7"/>
    <sheet name="Dashboard" sheetId="8" r:id="rId8"/>
  </sheets>
  <definedNames>
    <definedName name="DataDate">'Project Info'!$B$5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8" l="1"/>
  <c r="A29" i="8"/>
  <c r="A30" i="8"/>
  <c r="A31" i="8"/>
  <c r="A32" i="8"/>
  <c r="B32" i="8"/>
  <c r="B28" i="8"/>
  <c r="B29" i="8"/>
  <c r="B30" i="8"/>
  <c r="B31" i="8"/>
  <c r="B27" i="8"/>
  <c r="A27" i="8"/>
  <c r="D23" i="8"/>
  <c r="E23" i="8"/>
  <c r="F23" i="8"/>
  <c r="G23" i="8"/>
  <c r="H23" i="8"/>
  <c r="I23" i="8"/>
  <c r="J23" i="8"/>
  <c r="K23" i="8"/>
  <c r="L23" i="8"/>
  <c r="M23" i="8"/>
  <c r="N23" i="8"/>
  <c r="D22" i="8"/>
  <c r="E22" i="8"/>
  <c r="F22" i="8"/>
  <c r="G22" i="8"/>
  <c r="H22" i="8"/>
  <c r="I22" i="8"/>
  <c r="J22" i="8"/>
  <c r="K22" i="8"/>
  <c r="L22" i="8"/>
  <c r="M22" i="8"/>
  <c r="N22" i="8"/>
  <c r="D21" i="8"/>
  <c r="E21" i="8"/>
  <c r="F21" i="8"/>
  <c r="G21" i="8"/>
  <c r="H21" i="8"/>
  <c r="I21" i="8"/>
  <c r="J21" i="8"/>
  <c r="K21" i="8"/>
  <c r="L21" i="8"/>
  <c r="M21" i="8"/>
  <c r="N21" i="8"/>
  <c r="D20" i="8"/>
  <c r="E20" i="8"/>
  <c r="F20" i="8"/>
  <c r="G20" i="8"/>
  <c r="H20" i="8"/>
  <c r="I20" i="8"/>
  <c r="J20" i="8"/>
  <c r="K20" i="8"/>
  <c r="L20" i="8"/>
  <c r="M20" i="8"/>
  <c r="N20" i="8"/>
  <c r="C23" i="8"/>
  <c r="C22" i="8"/>
  <c r="C21" i="8"/>
  <c r="C20" i="8"/>
  <c r="B3" i="8"/>
  <c r="B10" i="8"/>
  <c r="B9" i="8"/>
  <c r="B8" i="8"/>
  <c r="B11" i="8" s="1"/>
  <c r="B7" i="8"/>
  <c r="B6" i="8"/>
  <c r="B5" i="8"/>
  <c r="B4" i="8"/>
  <c r="B16" i="7"/>
  <c r="B13" i="7"/>
  <c r="B12" i="7"/>
  <c r="B11" i="7"/>
  <c r="M5" i="7"/>
  <c r="M6" i="7"/>
  <c r="M7" i="7"/>
  <c r="M8" i="7"/>
  <c r="M4" i="7"/>
  <c r="J5" i="7"/>
  <c r="J6" i="7"/>
  <c r="J7" i="7"/>
  <c r="J8" i="7"/>
  <c r="J4" i="7"/>
  <c r="I5" i="7"/>
  <c r="I6" i="7"/>
  <c r="I7" i="7"/>
  <c r="I8" i="7"/>
  <c r="I4" i="7"/>
  <c r="D5" i="7"/>
  <c r="D6" i="7"/>
  <c r="D7" i="7"/>
  <c r="D8" i="7"/>
  <c r="D4" i="7"/>
  <c r="B14" i="6"/>
  <c r="B12" i="6"/>
  <c r="B10" i="6"/>
  <c r="B11" i="6" s="1"/>
  <c r="B13" i="6" s="1"/>
  <c r="B9" i="6"/>
  <c r="D5" i="6"/>
  <c r="D6" i="6"/>
  <c r="D4" i="6"/>
  <c r="G14" i="5"/>
  <c r="G4" i="5"/>
  <c r="H4" i="5" s="1"/>
  <c r="F5" i="5"/>
  <c r="G5" i="5"/>
  <c r="H5" i="5"/>
  <c r="F6" i="5"/>
  <c r="G6" i="5"/>
  <c r="H6" i="5" s="1"/>
  <c r="I6" i="5" s="1"/>
  <c r="F7" i="5"/>
  <c r="G7" i="5"/>
  <c r="H7" i="5"/>
  <c r="I7" i="5" s="1"/>
  <c r="F8" i="5"/>
  <c r="G8" i="5"/>
  <c r="H8" i="5"/>
  <c r="I8" i="5" s="1"/>
  <c r="F9" i="5"/>
  <c r="G9" i="5"/>
  <c r="H9" i="5" s="1"/>
  <c r="I9" i="5" s="1"/>
  <c r="F10" i="5"/>
  <c r="I5" i="5"/>
  <c r="D5" i="5"/>
  <c r="D6" i="5"/>
  <c r="D7" i="5"/>
  <c r="D8" i="5"/>
  <c r="D9" i="5"/>
  <c r="D10" i="5"/>
  <c r="E10" i="5"/>
  <c r="C10" i="5"/>
  <c r="F4" i="5"/>
  <c r="E5" i="5"/>
  <c r="E6" i="5"/>
  <c r="E7" i="5"/>
  <c r="E8" i="5"/>
  <c r="E9" i="5"/>
  <c r="E4" i="5"/>
  <c r="D4" i="5"/>
  <c r="C5" i="5"/>
  <c r="C6" i="5"/>
  <c r="C7" i="5"/>
  <c r="C8" i="5"/>
  <c r="C9" i="5"/>
  <c r="C4" i="5"/>
  <c r="A5" i="5"/>
  <c r="B5" i="5"/>
  <c r="A6" i="5"/>
  <c r="B6" i="5"/>
  <c r="A7" i="5"/>
  <c r="B7" i="5"/>
  <c r="A8" i="5"/>
  <c r="B8" i="5"/>
  <c r="A9" i="5"/>
  <c r="B9" i="5"/>
  <c r="B4" i="5"/>
  <c r="A4" i="5"/>
  <c r="D13" i="4"/>
  <c r="E13" i="4"/>
  <c r="F13" i="4"/>
  <c r="G13" i="4"/>
  <c r="H13" i="4"/>
  <c r="I13" i="4"/>
  <c r="J13" i="4"/>
  <c r="K13" i="4"/>
  <c r="L13" i="4"/>
  <c r="M13" i="4"/>
  <c r="N13" i="4"/>
  <c r="O23" i="4"/>
  <c r="E21" i="4"/>
  <c r="F21" i="4" s="1"/>
  <c r="G21" i="4" s="1"/>
  <c r="H21" i="4" s="1"/>
  <c r="I21" i="4" s="1"/>
  <c r="J21" i="4" s="1"/>
  <c r="K21" i="4" s="1"/>
  <c r="L21" i="4" s="1"/>
  <c r="M21" i="4" s="1"/>
  <c r="N21" i="4" s="1"/>
  <c r="D21" i="4"/>
  <c r="C21" i="4"/>
  <c r="D20" i="4"/>
  <c r="E20" i="4"/>
  <c r="F20" i="4"/>
  <c r="G20" i="4"/>
  <c r="H20" i="4"/>
  <c r="I20" i="4"/>
  <c r="J20" i="4"/>
  <c r="K20" i="4"/>
  <c r="L20" i="4"/>
  <c r="M20" i="4"/>
  <c r="N20" i="4"/>
  <c r="O20" i="4"/>
  <c r="C20" i="4"/>
  <c r="C15" i="4"/>
  <c r="D15" i="4"/>
  <c r="E15" i="4"/>
  <c r="F15" i="4"/>
  <c r="G15" i="4"/>
  <c r="H15" i="4"/>
  <c r="O15" i="4" s="1"/>
  <c r="I15" i="4"/>
  <c r="J15" i="4"/>
  <c r="K15" i="4"/>
  <c r="L15" i="4"/>
  <c r="M15" i="4"/>
  <c r="N15" i="4"/>
  <c r="C16" i="4"/>
  <c r="O16" i="4" s="1"/>
  <c r="D16" i="4"/>
  <c r="E16" i="4"/>
  <c r="F16" i="4"/>
  <c r="G16" i="4"/>
  <c r="H16" i="4"/>
  <c r="I16" i="4"/>
  <c r="J16" i="4"/>
  <c r="K16" i="4"/>
  <c r="L16" i="4"/>
  <c r="M16" i="4"/>
  <c r="N16" i="4"/>
  <c r="C17" i="4"/>
  <c r="D17" i="4"/>
  <c r="E17" i="4"/>
  <c r="F17" i="4"/>
  <c r="G17" i="4"/>
  <c r="O17" i="4" s="1"/>
  <c r="H17" i="4"/>
  <c r="I17" i="4"/>
  <c r="J17" i="4"/>
  <c r="K17" i="4"/>
  <c r="L17" i="4"/>
  <c r="M17" i="4"/>
  <c r="N17" i="4"/>
  <c r="C18" i="4"/>
  <c r="O18" i="4" s="1"/>
  <c r="D18" i="4"/>
  <c r="E18" i="4"/>
  <c r="F18" i="4"/>
  <c r="G18" i="4"/>
  <c r="H18" i="4"/>
  <c r="I18" i="4"/>
  <c r="J18" i="4"/>
  <c r="K18" i="4"/>
  <c r="L18" i="4"/>
  <c r="M18" i="4"/>
  <c r="N18" i="4"/>
  <c r="C19" i="4"/>
  <c r="D19" i="4"/>
  <c r="E19" i="4"/>
  <c r="F19" i="4"/>
  <c r="G19" i="4"/>
  <c r="O19" i="4" s="1"/>
  <c r="H19" i="4"/>
  <c r="I19" i="4"/>
  <c r="J19" i="4"/>
  <c r="K19" i="4"/>
  <c r="L19" i="4"/>
  <c r="M19" i="4"/>
  <c r="N19" i="4"/>
  <c r="D14" i="4"/>
  <c r="E14" i="4"/>
  <c r="F14" i="4"/>
  <c r="G14" i="4"/>
  <c r="O14" i="4" s="1"/>
  <c r="H14" i="4"/>
  <c r="I14" i="4"/>
  <c r="J14" i="4"/>
  <c r="K14" i="4"/>
  <c r="L14" i="4"/>
  <c r="M14" i="4"/>
  <c r="N14" i="4"/>
  <c r="C14" i="4"/>
  <c r="A15" i="4"/>
  <c r="B15" i="4"/>
  <c r="A16" i="4"/>
  <c r="B16" i="4"/>
  <c r="A17" i="4"/>
  <c r="B17" i="4"/>
  <c r="A18" i="4"/>
  <c r="B18" i="4"/>
  <c r="A19" i="4"/>
  <c r="B19" i="4"/>
  <c r="B14" i="4"/>
  <c r="A14" i="4"/>
  <c r="B13" i="4"/>
  <c r="C13" i="4"/>
  <c r="A13" i="4"/>
  <c r="O5" i="4"/>
  <c r="O6" i="4"/>
  <c r="O7" i="4"/>
  <c r="O8" i="4"/>
  <c r="O9" i="4"/>
  <c r="O4" i="4"/>
  <c r="D3" i="4"/>
  <c r="E3" i="4"/>
  <c r="F3" i="4"/>
  <c r="G3" i="4"/>
  <c r="H3" i="4"/>
  <c r="I3" i="4"/>
  <c r="J3" i="4"/>
  <c r="K3" i="4"/>
  <c r="L3" i="4"/>
  <c r="M3" i="4"/>
  <c r="N3" i="4"/>
  <c r="C3" i="4"/>
  <c r="A4" i="4"/>
  <c r="B4" i="4"/>
  <c r="A5" i="4"/>
  <c r="B5" i="4"/>
  <c r="A6" i="4"/>
  <c r="B6" i="4"/>
  <c r="A7" i="4"/>
  <c r="B7" i="4"/>
  <c r="A8" i="4"/>
  <c r="B8" i="4"/>
  <c r="A9" i="4"/>
  <c r="B9" i="4"/>
  <c r="B3" i="4"/>
  <c r="A3" i="4"/>
  <c r="O13" i="3"/>
  <c r="E11" i="3"/>
  <c r="F11" i="3" s="1"/>
  <c r="G11" i="3" s="1"/>
  <c r="H11" i="3" s="1"/>
  <c r="I11" i="3"/>
  <c r="J11" i="3"/>
  <c r="K11" i="3"/>
  <c r="L11" i="3"/>
  <c r="M11" i="3"/>
  <c r="N11" i="3"/>
  <c r="D11" i="3"/>
  <c r="C11" i="3"/>
  <c r="D10" i="3"/>
  <c r="E10" i="3"/>
  <c r="F10" i="3"/>
  <c r="G10" i="3"/>
  <c r="H10" i="3"/>
  <c r="I10" i="3"/>
  <c r="J10" i="3"/>
  <c r="K10" i="3"/>
  <c r="L10" i="3"/>
  <c r="M10" i="3"/>
  <c r="N10" i="3"/>
  <c r="O10" i="3"/>
  <c r="C10" i="3"/>
  <c r="O5" i="3"/>
  <c r="O6" i="3"/>
  <c r="O7" i="3"/>
  <c r="O8" i="3"/>
  <c r="O9" i="3"/>
  <c r="O4" i="3"/>
  <c r="D3" i="3"/>
  <c r="E3" i="3"/>
  <c r="F3" i="3"/>
  <c r="G3" i="3"/>
  <c r="H3" i="3"/>
  <c r="I3" i="3"/>
  <c r="J3" i="3"/>
  <c r="K3" i="3"/>
  <c r="L3" i="3"/>
  <c r="M3" i="3"/>
  <c r="N3" i="3"/>
  <c r="C3" i="3"/>
  <c r="A4" i="3"/>
  <c r="B4" i="3"/>
  <c r="A5" i="3"/>
  <c r="B5" i="3"/>
  <c r="A6" i="3"/>
  <c r="B6" i="3"/>
  <c r="A7" i="3"/>
  <c r="B7" i="3"/>
  <c r="A8" i="3"/>
  <c r="B8" i="3"/>
  <c r="A9" i="3"/>
  <c r="B9" i="3"/>
  <c r="B3" i="3"/>
  <c r="A3" i="3"/>
  <c r="O13" i="2"/>
  <c r="E11" i="2"/>
  <c r="F11" i="2" s="1"/>
  <c r="G11" i="2" s="1"/>
  <c r="H11" i="2" s="1"/>
  <c r="I11" i="2" s="1"/>
  <c r="J11" i="2" s="1"/>
  <c r="K11" i="2" s="1"/>
  <c r="L11" i="2" s="1"/>
  <c r="M11" i="2" s="1"/>
  <c r="N11" i="2" s="1"/>
  <c r="D11" i="2"/>
  <c r="C11" i="2"/>
  <c r="D10" i="2"/>
  <c r="E10" i="2"/>
  <c r="F10" i="2"/>
  <c r="G10" i="2"/>
  <c r="H10" i="2"/>
  <c r="I10" i="2"/>
  <c r="J10" i="2"/>
  <c r="K10" i="2"/>
  <c r="L10" i="2"/>
  <c r="M10" i="2"/>
  <c r="N10" i="2"/>
  <c r="C10" i="2"/>
  <c r="O5" i="2"/>
  <c r="O6" i="2"/>
  <c r="O7" i="2"/>
  <c r="O8" i="2"/>
  <c r="O10" i="2" s="1"/>
  <c r="O9" i="2"/>
  <c r="O4" i="2"/>
  <c r="E3" i="2"/>
  <c r="F3" i="2" s="1"/>
  <c r="G3" i="2" s="1"/>
  <c r="H3" i="2" s="1"/>
  <c r="I3" i="2" s="1"/>
  <c r="J3" i="2" s="1"/>
  <c r="K3" i="2" s="1"/>
  <c r="L3" i="2" s="1"/>
  <c r="M3" i="2" s="1"/>
  <c r="N3" i="2" s="1"/>
  <c r="D3" i="2"/>
  <c r="C3" i="2"/>
  <c r="B14" i="7" l="1"/>
  <c r="B15" i="7" s="1"/>
  <c r="G10" i="5"/>
  <c r="H10" i="5" s="1"/>
  <c r="I10" i="5" s="1"/>
  <c r="J10" i="5" s="1"/>
  <c r="J8" i="5"/>
  <c r="J9" i="5"/>
  <c r="J7" i="5"/>
  <c r="J6" i="5"/>
  <c r="J5" i="5"/>
  <c r="I4" i="5"/>
  <c r="J4" i="5" s="1"/>
</calcChain>
</file>

<file path=xl/sharedStrings.xml><?xml version="1.0" encoding="utf-8"?>
<sst xmlns="http://schemas.openxmlformats.org/spreadsheetml/2006/main" count="158" uniqueCount="115">
  <si>
    <t>Project name</t>
  </si>
  <si>
    <t>Riverside Station Refurbishment</t>
  </si>
  <si>
    <t>Client</t>
  </si>
  <si>
    <t>Riverside Rail Ltd</t>
  </si>
  <si>
    <t>Start date</t>
  </si>
  <si>
    <t>End date</t>
  </si>
  <si>
    <t>Data date</t>
  </si>
  <si>
    <t>Currency</t>
  </si>
  <si>
    <t>Prepared by</t>
  </si>
  <si>
    <t>Ajay Singh</t>
  </si>
  <si>
    <t xml:space="preserve">GBP </t>
  </si>
  <si>
    <t>Baseline Budget (£)</t>
  </si>
  <si>
    <t>WP ID</t>
  </si>
  <si>
    <t>Work package</t>
  </si>
  <si>
    <t>Total</t>
  </si>
  <si>
    <t>WP01</t>
  </si>
  <si>
    <t>WP02</t>
  </si>
  <si>
    <t>WP03</t>
  </si>
  <si>
    <t>WP04</t>
  </si>
  <si>
    <t>WP05</t>
  </si>
  <si>
    <t>WP06</t>
  </si>
  <si>
    <t>Design and Surveys</t>
  </si>
  <si>
    <t>Enabling Works</t>
  </si>
  <si>
    <t>Mechanical and Electrical</t>
  </si>
  <si>
    <t>Fit-out and Finishes</t>
  </si>
  <si>
    <t>Monthly Total</t>
  </si>
  <si>
    <t>Cumulative Budget</t>
  </si>
  <si>
    <t>Check (should be 0)</t>
  </si>
  <si>
    <t>Civils and Structures</t>
  </si>
  <si>
    <t>Testing and Handover</t>
  </si>
  <si>
    <t>Actual Cost (£)</t>
  </si>
  <si>
    <t>Monthly total</t>
  </si>
  <si>
    <t>Cumulative actual</t>
  </si>
  <si>
    <t>Forecast (£)</t>
  </si>
  <si>
    <t>Inputs: forecast of remaining cost (Oct-26 onwards)</t>
  </si>
  <si>
    <t>ETC</t>
  </si>
  <si>
    <t>Outturn: actual to date + forecast</t>
  </si>
  <si>
    <t>EAC</t>
  </si>
  <si>
    <t>Cumulative forecast</t>
  </si>
  <si>
    <t>Cost Summary at Data Date (£)</t>
  </si>
  <si>
    <t>Budget to date</t>
  </si>
  <si>
    <t>Actual to date</t>
  </si>
  <si>
    <t>Variance to date</t>
  </si>
  <si>
    <t>Status</t>
  </si>
  <si>
    <t>VAC %</t>
  </si>
  <si>
    <t>Budget (BAC)</t>
  </si>
  <si>
    <t>Variance at completion</t>
  </si>
  <si>
    <t>Change Log</t>
  </si>
  <si>
    <t>Change ID</t>
  </si>
  <si>
    <t>Date raised</t>
  </si>
  <si>
    <t>Description</t>
  </si>
  <si>
    <t>Reason</t>
  </si>
  <si>
    <t>Cost impact (£)</t>
  </si>
  <si>
    <t>Approved by</t>
  </si>
  <si>
    <t>Date approved</t>
  </si>
  <si>
    <t>CR001</t>
  </si>
  <si>
    <t>Unforeseen utility diversion during enabling works</t>
  </si>
  <si>
    <t>Site condition</t>
  </si>
  <si>
    <t>Approved</t>
  </si>
  <si>
    <t>CR002</t>
  </si>
  <si>
    <t>Additional surveys requested by client</t>
  </si>
  <si>
    <t>Client request</t>
  </si>
  <si>
    <t>CR003</t>
  </si>
  <si>
    <t>Extended working hours to recover civils delay</t>
  </si>
  <si>
    <t>Programme recovery</t>
  </si>
  <si>
    <t>Proposed</t>
  </si>
  <si>
    <t>Original budget (baseline)</t>
  </si>
  <si>
    <t>Approved changes</t>
  </si>
  <si>
    <t>Current approved budget</t>
  </si>
  <si>
    <t>Variance vs current budget</t>
  </si>
  <si>
    <t>Pending changes (proposed)</t>
  </si>
  <si>
    <t>Risk Register</t>
  </si>
  <si>
    <t>Risk ID</t>
  </si>
  <si>
    <t>Owner</t>
  </si>
  <si>
    <t>Likelihood (1-5)</t>
  </si>
  <si>
    <t>Impact (1-5)</t>
  </si>
  <si>
    <t>Score</t>
  </si>
  <si>
    <t>Rating</t>
  </si>
  <si>
    <t>Cost exposure (£)</t>
  </si>
  <si>
    <t>Probability</t>
  </si>
  <si>
    <t>Expected value (£)</t>
  </si>
  <si>
    <t>Mitigation</t>
  </si>
  <si>
    <t>R001</t>
  </si>
  <si>
    <t>R002</t>
  </si>
  <si>
    <t>R003</t>
  </si>
  <si>
    <t>R004</t>
  </si>
  <si>
    <t>R005</t>
  </si>
  <si>
    <t>Poor ground conditions may delay civils works, increasing cost</t>
  </si>
  <si>
    <t>Long lead time on switchgear may delay M&amp;E installation</t>
  </si>
  <si>
    <t>Upstream delays may compress fit-out, needing overtime</t>
  </si>
  <si>
    <t>Rail operator may refuse the testing possession window</t>
  </si>
  <si>
    <t>Further unrecorded utilities may be found during enabling works</t>
  </si>
  <si>
    <t>Civils Manager</t>
  </si>
  <si>
    <t>M&amp;E Manager</t>
  </si>
  <si>
    <t>Project Manager</t>
  </si>
  <si>
    <t>Enabling Lead</t>
  </si>
  <si>
    <t>Extra ground investigation ahead of works</t>
  </si>
  <si>
    <t>Order early and identify a backup supplier</t>
  </si>
  <si>
    <t>Resequence works and agree weekend working</t>
  </si>
  <si>
    <t>Book possessions early with the operator</t>
  </si>
  <si>
    <t>Utility survey before excavation</t>
  </si>
  <si>
    <t>Open</t>
  </si>
  <si>
    <t>Closed</t>
  </si>
  <si>
    <t>Open risk exposure (expected value)</t>
  </si>
  <si>
    <t>Risk-adjusted EAC</t>
  </si>
  <si>
    <t>Risk-adjusted variance</t>
  </si>
  <si>
    <t>Open high risks</t>
  </si>
  <si>
    <t>Riverside Station Refurbishment: Cost Dashboard</t>
  </si>
  <si>
    <t>Original budget</t>
  </si>
  <si>
    <t>Overall status</t>
  </si>
  <si>
    <t>Month</t>
  </si>
  <si>
    <t>Budget</t>
  </si>
  <si>
    <t>Actual</t>
  </si>
  <si>
    <t>Forecast</t>
  </si>
  <si>
    <t>Project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</si>
</sst>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"/>
    <numFmt numFmtId="165" formatCode="#,##0;[Red]\-#,##0"/>
    <numFmt numFmtId="166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4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/>
    <xf numFmtId="17" fontId="2" fillId="0" borderId="0" xfId="0" applyNumberFormat="1" applyFont="1"/>
    <xf numFmtId="3" fontId="2" fillId="0" borderId="0" xfId="0" applyNumberFormat="1" applyFont="1"/>
    <xf numFmtId="17" fontId="0" fillId="0" borderId="0" xfId="0" applyNumberFormat="1"/>
    <xf numFmtId="0" fontId="0" fillId="0" borderId="0" xfId="0" applyAlignment="1">
      <alignment horizontal="right"/>
    </xf>
    <xf numFmtId="3" fontId="0" fillId="2" borderId="0" xfId="0" applyNumberFormat="1" applyFill="1"/>
    <xf numFmtId="3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3" fillId="0" borderId="0" xfId="0" applyFont="1"/>
    <xf numFmtId="10" fontId="0" fillId="0" borderId="0" xfId="0" applyNumberFormat="1"/>
    <xf numFmtId="0" fontId="4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Cost: Budget vs Actual vs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Dashboard!$A$21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Dashboard!$C$20:$N$20</c:f>
              <c:numCache>
                <c:formatCode>mmm\-yy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Dashboard!$C$21:$N$21</c:f>
              <c:numCache>
                <c:formatCode>#,##0</c:formatCode>
                <c:ptCount val="12"/>
                <c:pt idx="0">
                  <c:v>60000</c:v>
                </c:pt>
                <c:pt idx="1">
                  <c:v>130000</c:v>
                </c:pt>
                <c:pt idx="2">
                  <c:v>250000</c:v>
                </c:pt>
                <c:pt idx="3">
                  <c:v>390000</c:v>
                </c:pt>
                <c:pt idx="4">
                  <c:v>580000</c:v>
                </c:pt>
                <c:pt idx="5">
                  <c:v>800000</c:v>
                </c:pt>
                <c:pt idx="6">
                  <c:v>1090000</c:v>
                </c:pt>
                <c:pt idx="7">
                  <c:v>1430000</c:v>
                </c:pt>
                <c:pt idx="8">
                  <c:v>1750000</c:v>
                </c:pt>
                <c:pt idx="9">
                  <c:v>2030000</c:v>
                </c:pt>
                <c:pt idx="10">
                  <c:v>2270000</c:v>
                </c:pt>
                <c:pt idx="11">
                  <c:v>2400000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7-4F4E-96E2-1732527753FB}"/>
            </c:ext>
          </c:extLst>
        </c:ser>
        <c:ser>
          <c:idx val="2"/>
          <c:order val="1"/>
          <c:tx>
            <c:strRef>
              <c:f>Dashboard!$A$23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Dashboard!$C$20:$N$20</c:f>
              <c:numCache>
                <c:formatCode>mmm\-yy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Dashboard!$C$23:$N$23</c:f>
              <c:numCache>
                <c:formatCode>#,##0</c:formatCode>
                <c:ptCount val="12"/>
                <c:pt idx="0">
                  <c:v>62000</c:v>
                </c:pt>
                <c:pt idx="1">
                  <c:v>135000</c:v>
                </c:pt>
                <c:pt idx="2">
                  <c:v>255000</c:v>
                </c:pt>
                <c:pt idx="3">
                  <c:v>397000</c:v>
                </c:pt>
                <c:pt idx="4">
                  <c:v>574000</c:v>
                </c:pt>
                <c:pt idx="5">
                  <c:v>779000</c:v>
                </c:pt>
                <c:pt idx="6">
                  <c:v>997000</c:v>
                </c:pt>
                <c:pt idx="7">
                  <c:v>1297000</c:v>
                </c:pt>
                <c:pt idx="8">
                  <c:v>1607000</c:v>
                </c:pt>
                <c:pt idx="9">
                  <c:v>1917000</c:v>
                </c:pt>
                <c:pt idx="10">
                  <c:v>2197000</c:v>
                </c:pt>
                <c:pt idx="11">
                  <c:v>2487000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97-4F4E-96E2-1732527753FB}"/>
            </c:ext>
          </c:extLst>
        </c:ser>
        <c:ser>
          <c:idx val="1"/>
          <c:order val="2"/>
          <c:tx>
            <c:strRef>
              <c:f>Dashboard!$A$22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Dashboard!$C$20:$N$20</c:f>
              <c:numCache>
                <c:formatCode>mmm\-yy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Dashboard!$C$22:$N$22</c:f>
              <c:numCache>
                <c:formatCode>#,##0</c:formatCode>
                <c:ptCount val="12"/>
                <c:pt idx="0">
                  <c:v>62000</c:v>
                </c:pt>
                <c:pt idx="1">
                  <c:v>135000</c:v>
                </c:pt>
                <c:pt idx="2">
                  <c:v>255000</c:v>
                </c:pt>
                <c:pt idx="3">
                  <c:v>397000</c:v>
                </c:pt>
                <c:pt idx="4">
                  <c:v>574000</c:v>
                </c:pt>
                <c:pt idx="5">
                  <c:v>779000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7-4F4E-96E2-17325277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505471"/>
        <c:axId val="146900288"/>
      </c:lineChart>
      <c:dateAx>
        <c:axId val="20905054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0288"/>
        <c:crosses val="autoZero"/>
        <c:auto val="1"/>
        <c:lblOffset val="100"/>
        <c:baseTimeUnit val="months"/>
      </c:dateAx>
      <c:valAx>
        <c:axId val="1469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Forecast Variance at Completion vs Original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Variance at completion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Dashboard!$A$27:$A$32</c:f>
              <c:strCache>
                <c:ptCount val="6"/>
                <c:pt idx="0">
                  <c:v>Design and Surveys</c:v>
                </c:pt>
                <c:pt idx="1">
                  <c:v>Enabling Works</c:v>
                </c:pt>
                <c:pt idx="2">
                  <c:v>Civils and Structures</c:v>
                </c:pt>
                <c:pt idx="3">
                  <c:v>Mechanical and Electrical</c:v>
                </c:pt>
                <c:pt idx="4">
                  <c:v>Fit-out and Finishes</c:v>
                </c:pt>
                <c:pt idx="5">
                  <c:v>Testing and Handover</c:v>
                </c:pt>
              </c:strCache>
            </c:strRef>
          </c:cat>
          <c:val>
            <c:numRef>
              <c:f>Dashboard!$B$27:$B$32</c:f>
              <c:numCache>
                <c:formatCode>#,##0;[Red]\-#,##0</c:formatCode>
                <c:ptCount val="6"/>
                <c:pt idx="0">
                  <c:v>-27000</c:v>
                </c:pt>
                <c:pt idx="1">
                  <c:v>-40000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D-7A4F-B09E-3873001FF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66496"/>
        <c:axId val="147877696"/>
      </c:barChart>
      <c:catAx>
        <c:axId val="147866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7696"/>
        <c:crosses val="autoZero"/>
        <c:auto val="1"/>
        <c:lblAlgn val="ctr"/>
        <c:lblOffset val="100"/>
        <c:noMultiLvlLbl val="0"/>
      </c:catAx>
      <c:valAx>
        <c:axId val="1478776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\-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3</xdr:row>
      <xdr:rowOff>133350</xdr:rowOff>
    </xdr:from>
    <xdr:to>
      <xdr:col>8</xdr:col>
      <xdr:colOff>704850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3EA98-51AB-5EB5-7FB4-3252CA454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292100</xdr:colOff>
      <xdr:row>24</xdr:row>
      <xdr:rowOff>0</xdr:rowOff>
    </xdr:from>
    <xdr:to>
      <xdr:col>8</xdr:col>
      <xdr:colOff>704850</xdr:colOff>
      <xdr:row>38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62872-4B3F-309E-F01D-80C741476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</xdr:colOff>
      <xdr:row>24</xdr:row>
      <xdr:rowOff>25400</xdr:rowOff>
    </xdr:from>
    <xdr:to>
      <xdr:col>16</xdr:col>
      <xdr:colOff>0</xdr:colOff>
      <xdr:row>39</xdr:row>
      <xdr:rowOff>12700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C03E44C-91F7-EC4A-6E36-03B1C51790F8}"/>
            </a:ext>
          </a:extLst>
        </xdr:cNvPr>
        <xdr:cNvSpPr txBox="1"/>
      </xdr:nvSpPr>
      <xdr:spPr>
        <a:xfrm>
          <a:off x="11988800" y="4965700"/>
          <a:ext cx="5765800" cy="303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200" b="1"/>
            <a:t>Position at 30 September 2026:</a:t>
          </a:r>
          <a:r>
            <a:rPr lang="en-GB" sz="1200"/>
            <a:t> £779k has been spent against £800k planned. The project is forecast to finish at £2.487m, which is £27k (1.1%) over the current approved budget of £2.46m.</a:t>
          </a:r>
        </a:p>
        <a:p>
          <a:pPr rtl="0"/>
          <a:endParaRPr lang="en-GB" sz="1200"/>
        </a:p>
        <a:p>
          <a:pPr rtl="0"/>
          <a:r>
            <a:rPr lang="en-GB" sz="1200" b="1"/>
            <a:t>Drivers:</a:t>
          </a:r>
          <a:r>
            <a:rPr lang="en-GB" sz="1200"/>
            <a:t> most of the overrun against the original budget is covered by £60k of approved changes for Design and Enabling Works. The remaining variance is mainly Civils (£20k), which is behind schedule, and that delay is pushing Fit-out and Testing later. Civils' underspend to date reflects the delay, not a saving.</a:t>
          </a:r>
        </a:p>
        <a:p>
          <a:pPr rtl="0"/>
          <a:endParaRPr lang="en-GB" sz="1200"/>
        </a:p>
        <a:p>
          <a:pPr rtl="0"/>
          <a:r>
            <a:rPr lang="en-GB" sz="1200" b="1"/>
            <a:t>Risk:</a:t>
          </a:r>
          <a:r>
            <a:rPr lang="en-GB" sz="1200"/>
            <a:t> including open risks, the risk-adjusted outturn is £2.552m (£92k over), with poor ground conditions on Civils (R001) the largest exposure.</a:t>
          </a:r>
        </a:p>
        <a:p>
          <a:pPr rtl="0"/>
          <a:endParaRPr lang="en-GB" sz="1200"/>
        </a:p>
        <a:p>
          <a:pPr rtl="0"/>
          <a:r>
            <a:rPr lang="en-GB" sz="1200" b="1"/>
            <a:t>Actions:</a:t>
          </a:r>
          <a:r>
            <a:rPr lang="en-GB" sz="1200"/>
            <a:t> decide on CR003 (£20k civils recovery), which would reduce the variance to £7k if approved; carry out additional ground investigation to reduce R001; and monitor the knock-on delay to Fit-out and Testing.</a:t>
          </a:r>
        </a:p>
        <a:p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DC67-FC35-054C-9AC6-A59650A233AD}">
  <dimension ref="A1:B7"/>
  <sheetViews>
    <sheetView workbookViewId="0">
      <selection activeCell="B5" sqref="B5"/>
    </sheetView>
  </sheetViews>
  <sheetFormatPr baseColWidth="10" defaultRowHeight="16" x14ac:dyDescent="0.2"/>
  <cols>
    <col min="1" max="1" width="17.5" customWidth="1"/>
    <col min="2" max="2" width="27.5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s="1">
        <v>46113</v>
      </c>
    </row>
    <row r="4" spans="1:2" x14ac:dyDescent="0.2">
      <c r="A4" t="s">
        <v>5</v>
      </c>
      <c r="B4" s="1">
        <v>46477</v>
      </c>
    </row>
    <row r="5" spans="1:2" x14ac:dyDescent="0.2">
      <c r="A5" t="s">
        <v>6</v>
      </c>
      <c r="B5" s="1">
        <v>46295</v>
      </c>
    </row>
    <row r="6" spans="1:2" x14ac:dyDescent="0.2">
      <c r="A6" t="s">
        <v>7</v>
      </c>
      <c r="B6" s="2" t="s">
        <v>10</v>
      </c>
    </row>
    <row r="7" spans="1:2" x14ac:dyDescent="0.2">
      <c r="A7" t="s">
        <v>8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816-099C-9142-989E-0798D5386B78}">
  <dimension ref="A1:O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10" sqref="O10"/>
    </sheetView>
  </sheetViews>
  <sheetFormatPr baseColWidth="10" defaultRowHeight="16" x14ac:dyDescent="0.2"/>
  <cols>
    <col min="1" max="1" width="19.33203125" customWidth="1"/>
    <col min="2" max="2" width="22.83203125" customWidth="1"/>
    <col min="15" max="15" width="11.83203125" customWidth="1"/>
  </cols>
  <sheetData>
    <row r="1" spans="1:15" x14ac:dyDescent="0.2">
      <c r="A1" s="4" t="s">
        <v>11</v>
      </c>
    </row>
    <row r="3" spans="1:15" s="4" customFormat="1" x14ac:dyDescent="0.2">
      <c r="A3" s="4" t="s">
        <v>12</v>
      </c>
      <c r="B3" s="4" t="s">
        <v>13</v>
      </c>
      <c r="C3" s="7">
        <f>'Project Info'!B3</f>
        <v>46113</v>
      </c>
      <c r="D3" s="7">
        <f>EDATE(C3, 1)</f>
        <v>46143</v>
      </c>
      <c r="E3" s="7">
        <f t="shared" ref="E3:N3" si="0">EDATE(D3, 1)</f>
        <v>46174</v>
      </c>
      <c r="F3" s="7">
        <f t="shared" si="0"/>
        <v>46204</v>
      </c>
      <c r="G3" s="7">
        <f t="shared" si="0"/>
        <v>46235</v>
      </c>
      <c r="H3" s="7">
        <f t="shared" si="0"/>
        <v>46266</v>
      </c>
      <c r="I3" s="7">
        <f t="shared" si="0"/>
        <v>46296</v>
      </c>
      <c r="J3" s="7">
        <f t="shared" si="0"/>
        <v>46327</v>
      </c>
      <c r="K3" s="7">
        <f t="shared" si="0"/>
        <v>46357</v>
      </c>
      <c r="L3" s="7">
        <f t="shared" si="0"/>
        <v>46388</v>
      </c>
      <c r="M3" s="7">
        <f t="shared" si="0"/>
        <v>46419</v>
      </c>
      <c r="N3" s="7">
        <f t="shared" si="0"/>
        <v>46447</v>
      </c>
      <c r="O3" s="5" t="s">
        <v>14</v>
      </c>
    </row>
    <row r="4" spans="1:15" x14ac:dyDescent="0.2">
      <c r="A4" t="s">
        <v>15</v>
      </c>
      <c r="B4" t="s">
        <v>21</v>
      </c>
      <c r="C4" s="6">
        <v>60000</v>
      </c>
      <c r="D4" s="6">
        <v>50000</v>
      </c>
      <c r="E4" s="6">
        <v>40000</v>
      </c>
      <c r="F4" s="6">
        <v>20000</v>
      </c>
      <c r="G4" s="6">
        <v>10000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f>SUM(C4:N4)</f>
        <v>180000</v>
      </c>
    </row>
    <row r="5" spans="1:15" x14ac:dyDescent="0.2">
      <c r="A5" t="s">
        <v>16</v>
      </c>
      <c r="B5" t="s">
        <v>22</v>
      </c>
      <c r="C5" s="6">
        <v>0</v>
      </c>
      <c r="D5" s="6">
        <v>20000</v>
      </c>
      <c r="E5" s="6">
        <v>40000</v>
      </c>
      <c r="F5" s="6">
        <v>40000</v>
      </c>
      <c r="G5" s="6">
        <v>20000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f t="shared" ref="O5:O9" si="1">SUM(C5:N5)</f>
        <v>120000</v>
      </c>
    </row>
    <row r="6" spans="1:15" x14ac:dyDescent="0.2">
      <c r="A6" t="s">
        <v>17</v>
      </c>
      <c r="B6" t="s">
        <v>28</v>
      </c>
      <c r="C6" s="6">
        <v>0</v>
      </c>
      <c r="D6" s="6">
        <v>0</v>
      </c>
      <c r="E6" s="6">
        <v>40000</v>
      </c>
      <c r="F6" s="6">
        <v>80000</v>
      </c>
      <c r="G6" s="6">
        <v>120000</v>
      </c>
      <c r="H6" s="6">
        <v>140000</v>
      </c>
      <c r="I6" s="6">
        <v>140000</v>
      </c>
      <c r="J6" s="6">
        <v>120000</v>
      </c>
      <c r="K6" s="6">
        <v>60000</v>
      </c>
      <c r="L6" s="6">
        <v>0</v>
      </c>
      <c r="M6" s="6">
        <v>0</v>
      </c>
      <c r="N6" s="6">
        <v>0</v>
      </c>
      <c r="O6" s="6">
        <f t="shared" si="1"/>
        <v>700000</v>
      </c>
    </row>
    <row r="7" spans="1:15" x14ac:dyDescent="0.2">
      <c r="A7" t="s">
        <v>18</v>
      </c>
      <c r="B7" t="s">
        <v>23</v>
      </c>
      <c r="C7" s="6">
        <v>0</v>
      </c>
      <c r="D7" s="6">
        <v>0</v>
      </c>
      <c r="E7" s="6">
        <v>0</v>
      </c>
      <c r="F7" s="6">
        <v>0</v>
      </c>
      <c r="G7" s="6">
        <v>40000</v>
      </c>
      <c r="H7" s="6">
        <v>80000</v>
      </c>
      <c r="I7" s="6">
        <v>100000</v>
      </c>
      <c r="J7" s="6">
        <v>120000</v>
      </c>
      <c r="K7" s="6">
        <v>120000</v>
      </c>
      <c r="L7" s="6">
        <v>100000</v>
      </c>
      <c r="M7" s="6">
        <v>40000</v>
      </c>
      <c r="N7" s="6">
        <v>0</v>
      </c>
      <c r="O7" s="6">
        <f t="shared" si="1"/>
        <v>600000</v>
      </c>
    </row>
    <row r="8" spans="1:15" x14ac:dyDescent="0.2">
      <c r="A8" t="s">
        <v>19</v>
      </c>
      <c r="B8" t="s">
        <v>24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50000</v>
      </c>
      <c r="J8" s="6">
        <v>100000</v>
      </c>
      <c r="K8" s="6">
        <v>120000</v>
      </c>
      <c r="L8" s="6">
        <v>140000</v>
      </c>
      <c r="M8" s="6">
        <v>120000</v>
      </c>
      <c r="N8" s="6">
        <v>70000</v>
      </c>
      <c r="O8" s="6">
        <f t="shared" si="1"/>
        <v>600000</v>
      </c>
    </row>
    <row r="9" spans="1:15" x14ac:dyDescent="0.2">
      <c r="A9" t="s">
        <v>20</v>
      </c>
      <c r="B9" t="s">
        <v>29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20000</v>
      </c>
      <c r="L9" s="6">
        <v>40000</v>
      </c>
      <c r="M9" s="6">
        <v>80000</v>
      </c>
      <c r="N9" s="6">
        <v>60000</v>
      </c>
      <c r="O9" s="6">
        <f t="shared" si="1"/>
        <v>200000</v>
      </c>
    </row>
    <row r="10" spans="1:15" s="4" customFormat="1" x14ac:dyDescent="0.2">
      <c r="A10" s="4" t="s">
        <v>25</v>
      </c>
      <c r="C10" s="8">
        <f>SUM(C4:C9)</f>
        <v>60000</v>
      </c>
      <c r="D10" s="8">
        <f t="shared" ref="D10:O10" si="2">SUM(D4:D9)</f>
        <v>70000</v>
      </c>
      <c r="E10" s="8">
        <f t="shared" si="2"/>
        <v>120000</v>
      </c>
      <c r="F10" s="8">
        <f t="shared" si="2"/>
        <v>140000</v>
      </c>
      <c r="G10" s="8">
        <f t="shared" si="2"/>
        <v>190000</v>
      </c>
      <c r="H10" s="8">
        <f t="shared" si="2"/>
        <v>220000</v>
      </c>
      <c r="I10" s="8">
        <f t="shared" si="2"/>
        <v>290000</v>
      </c>
      <c r="J10" s="8">
        <f t="shared" si="2"/>
        <v>340000</v>
      </c>
      <c r="K10" s="8">
        <f t="shared" si="2"/>
        <v>320000</v>
      </c>
      <c r="L10" s="8">
        <f t="shared" si="2"/>
        <v>280000</v>
      </c>
      <c r="M10" s="8">
        <f t="shared" si="2"/>
        <v>240000</v>
      </c>
      <c r="N10" s="8">
        <f t="shared" si="2"/>
        <v>130000</v>
      </c>
      <c r="O10" s="8">
        <f t="shared" si="2"/>
        <v>2400000</v>
      </c>
    </row>
    <row r="11" spans="1:15" s="4" customFormat="1" x14ac:dyDescent="0.2">
      <c r="A11" s="4" t="s">
        <v>26</v>
      </c>
      <c r="C11" s="8">
        <f>C10</f>
        <v>60000</v>
      </c>
      <c r="D11" s="8">
        <f>C11+D10</f>
        <v>130000</v>
      </c>
      <c r="E11" s="8">
        <f t="shared" ref="E11:N11" si="3">D11+E10</f>
        <v>250000</v>
      </c>
      <c r="F11" s="8">
        <f t="shared" si="3"/>
        <v>390000</v>
      </c>
      <c r="G11" s="8">
        <f t="shared" si="3"/>
        <v>580000</v>
      </c>
      <c r="H11" s="8">
        <f t="shared" si="3"/>
        <v>800000</v>
      </c>
      <c r="I11" s="8">
        <f t="shared" si="3"/>
        <v>1090000</v>
      </c>
      <c r="J11" s="8">
        <f t="shared" si="3"/>
        <v>1430000</v>
      </c>
      <c r="K11" s="8">
        <f t="shared" si="3"/>
        <v>1750000</v>
      </c>
      <c r="L11" s="8">
        <f t="shared" si="3"/>
        <v>2030000</v>
      </c>
      <c r="M11" s="8">
        <f t="shared" si="3"/>
        <v>2270000</v>
      </c>
      <c r="N11" s="8">
        <f t="shared" si="3"/>
        <v>2400000</v>
      </c>
      <c r="O11" s="8"/>
    </row>
    <row r="13" spans="1:15" x14ac:dyDescent="0.2">
      <c r="A13" t="s">
        <v>27</v>
      </c>
      <c r="O13">
        <f>SUM(O4:O9)-SUM(C10:N10)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C89A-AC2D-C145-A137-88B4B8720047}">
  <dimension ref="A1:O13"/>
  <sheetViews>
    <sheetView workbookViewId="0">
      <selection activeCell="O10" sqref="O10"/>
    </sheetView>
  </sheetViews>
  <sheetFormatPr baseColWidth="10" defaultRowHeight="16" x14ac:dyDescent="0.2"/>
  <cols>
    <col min="1" max="1" width="17.5" customWidth="1"/>
    <col min="2" max="2" width="25.5" customWidth="1"/>
  </cols>
  <sheetData>
    <row r="1" spans="1:15" x14ac:dyDescent="0.2">
      <c r="A1" s="4" t="s">
        <v>30</v>
      </c>
    </row>
    <row r="3" spans="1:15" x14ac:dyDescent="0.2">
      <c r="A3" t="str">
        <f>Budget!A3</f>
        <v>WP ID</v>
      </c>
      <c r="B3" t="str">
        <f>Budget!B3</f>
        <v>Work package</v>
      </c>
      <c r="C3" s="9">
        <f>Budget!C3</f>
        <v>46113</v>
      </c>
      <c r="D3" s="9">
        <f>Budget!D3</f>
        <v>46143</v>
      </c>
      <c r="E3" s="9">
        <f>Budget!E3</f>
        <v>46174</v>
      </c>
      <c r="F3" s="9">
        <f>Budget!F3</f>
        <v>46204</v>
      </c>
      <c r="G3" s="9">
        <f>Budget!G3</f>
        <v>46235</v>
      </c>
      <c r="H3" s="9">
        <f>Budget!H3</f>
        <v>46266</v>
      </c>
      <c r="I3" s="9">
        <f>Budget!I3</f>
        <v>46296</v>
      </c>
      <c r="J3" s="9">
        <f>Budget!J3</f>
        <v>46327</v>
      </c>
      <c r="K3" s="9">
        <f>Budget!K3</f>
        <v>46357</v>
      </c>
      <c r="L3" s="9">
        <f>Budget!L3</f>
        <v>46388</v>
      </c>
      <c r="M3" s="9">
        <f>Budget!M3</f>
        <v>46419</v>
      </c>
      <c r="N3" s="9">
        <f>Budget!N3</f>
        <v>46447</v>
      </c>
      <c r="O3" s="10" t="s">
        <v>14</v>
      </c>
    </row>
    <row r="4" spans="1:15" x14ac:dyDescent="0.2">
      <c r="A4" t="str">
        <f>Budget!A4</f>
        <v>WP01</v>
      </c>
      <c r="B4" t="str">
        <f>Budget!B4</f>
        <v>Design and Surveys</v>
      </c>
      <c r="C4" s="6">
        <v>62000</v>
      </c>
      <c r="D4" s="6">
        <v>55000</v>
      </c>
      <c r="E4" s="6">
        <v>45000</v>
      </c>
      <c r="F4" s="6">
        <v>25000</v>
      </c>
      <c r="G4" s="6">
        <v>12000</v>
      </c>
      <c r="H4" s="6">
        <v>5000</v>
      </c>
      <c r="I4" s="6"/>
      <c r="J4" s="6"/>
      <c r="K4" s="6"/>
      <c r="L4" s="6"/>
      <c r="M4" s="6"/>
      <c r="N4" s="6"/>
      <c r="O4" s="6">
        <f>SUM(C4:N4)</f>
        <v>204000</v>
      </c>
    </row>
    <row r="5" spans="1:15" x14ac:dyDescent="0.2">
      <c r="A5" t="str">
        <f>Budget!A5</f>
        <v>WP02</v>
      </c>
      <c r="B5" t="str">
        <f>Budget!B5</f>
        <v>Enabling Works</v>
      </c>
      <c r="C5" s="6">
        <v>0</v>
      </c>
      <c r="D5" s="6">
        <v>18000</v>
      </c>
      <c r="E5" s="6">
        <v>45000</v>
      </c>
      <c r="F5" s="6">
        <v>52000</v>
      </c>
      <c r="G5" s="6">
        <v>30000</v>
      </c>
      <c r="H5" s="6">
        <v>10000</v>
      </c>
      <c r="I5" s="6"/>
      <c r="J5" s="6"/>
      <c r="K5" s="6"/>
      <c r="L5" s="6"/>
      <c r="M5" s="6"/>
      <c r="N5" s="6"/>
      <c r="O5" s="6">
        <f t="shared" ref="O5:O9" si="0">SUM(C5:N5)</f>
        <v>155000</v>
      </c>
    </row>
    <row r="6" spans="1:15" x14ac:dyDescent="0.2">
      <c r="A6" t="str">
        <f>Budget!A6</f>
        <v>WP03</v>
      </c>
      <c r="B6" t="str">
        <f>Budget!B6</f>
        <v>Civils and Structures</v>
      </c>
      <c r="C6" s="6">
        <v>0</v>
      </c>
      <c r="D6" s="6">
        <v>0</v>
      </c>
      <c r="E6" s="6">
        <v>30000</v>
      </c>
      <c r="F6" s="6">
        <v>65000</v>
      </c>
      <c r="G6" s="6">
        <v>100000</v>
      </c>
      <c r="H6" s="6">
        <v>115000</v>
      </c>
      <c r="I6" s="6"/>
      <c r="J6" s="6"/>
      <c r="K6" s="6"/>
      <c r="L6" s="6"/>
      <c r="M6" s="6"/>
      <c r="N6" s="6"/>
      <c r="O6" s="6">
        <f t="shared" si="0"/>
        <v>310000</v>
      </c>
    </row>
    <row r="7" spans="1:15" x14ac:dyDescent="0.2">
      <c r="A7" t="str">
        <f>Budget!A7</f>
        <v>WP04</v>
      </c>
      <c r="B7" t="str">
        <f>Budget!B7</f>
        <v>Mechanical and Electrical</v>
      </c>
      <c r="C7" s="6">
        <v>0</v>
      </c>
      <c r="D7" s="6">
        <v>0</v>
      </c>
      <c r="E7" s="6">
        <v>0</v>
      </c>
      <c r="F7" s="6">
        <v>0</v>
      </c>
      <c r="G7" s="6">
        <v>35000</v>
      </c>
      <c r="H7" s="6">
        <v>75000</v>
      </c>
      <c r="I7" s="6"/>
      <c r="J7" s="6"/>
      <c r="K7" s="6"/>
      <c r="L7" s="6"/>
      <c r="M7" s="6"/>
      <c r="N7" s="6"/>
      <c r="O7" s="6">
        <f t="shared" si="0"/>
        <v>110000</v>
      </c>
    </row>
    <row r="8" spans="1:15" x14ac:dyDescent="0.2">
      <c r="A8" t="str">
        <f>Budget!A8</f>
        <v>WP05</v>
      </c>
      <c r="B8" t="str">
        <f>Budget!B8</f>
        <v>Fit-out and Finishes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/>
      <c r="J8" s="6"/>
      <c r="K8" s="6"/>
      <c r="L8" s="6"/>
      <c r="M8" s="6"/>
      <c r="N8" s="6"/>
      <c r="O8" s="6">
        <f t="shared" si="0"/>
        <v>0</v>
      </c>
    </row>
    <row r="9" spans="1:15" x14ac:dyDescent="0.2">
      <c r="A9" t="str">
        <f>Budget!A9</f>
        <v>WP06</v>
      </c>
      <c r="B9" t="str">
        <f>Budget!B9</f>
        <v>Testing and Handover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/>
      <c r="J9" s="6"/>
      <c r="K9" s="6"/>
      <c r="L9" s="6"/>
      <c r="M9" s="6"/>
      <c r="N9" s="6"/>
      <c r="O9" s="6">
        <f t="shared" si="0"/>
        <v>0</v>
      </c>
    </row>
    <row r="10" spans="1:15" x14ac:dyDescent="0.2">
      <c r="A10" t="s">
        <v>31</v>
      </c>
      <c r="C10" s="6">
        <f>SUM(C4:C9)</f>
        <v>62000</v>
      </c>
      <c r="D10" s="6">
        <f t="shared" ref="D10:O10" si="1">SUM(D4:D9)</f>
        <v>73000</v>
      </c>
      <c r="E10" s="6">
        <f t="shared" si="1"/>
        <v>120000</v>
      </c>
      <c r="F10" s="6">
        <f t="shared" si="1"/>
        <v>142000</v>
      </c>
      <c r="G10" s="6">
        <f t="shared" si="1"/>
        <v>177000</v>
      </c>
      <c r="H10" s="6">
        <f t="shared" si="1"/>
        <v>205000</v>
      </c>
      <c r="I10" s="6">
        <f t="shared" si="1"/>
        <v>0</v>
      </c>
      <c r="J10" s="6">
        <f t="shared" si="1"/>
        <v>0</v>
      </c>
      <c r="K10" s="6">
        <f t="shared" si="1"/>
        <v>0</v>
      </c>
      <c r="L10" s="6">
        <f t="shared" si="1"/>
        <v>0</v>
      </c>
      <c r="M10" s="6">
        <f t="shared" si="1"/>
        <v>0</v>
      </c>
      <c r="N10" s="6">
        <f t="shared" si="1"/>
        <v>0</v>
      </c>
      <c r="O10" s="6">
        <f t="shared" si="1"/>
        <v>779000</v>
      </c>
    </row>
    <row r="11" spans="1:15" x14ac:dyDescent="0.2">
      <c r="A11" t="s">
        <v>32</v>
      </c>
      <c r="C11" s="6">
        <f>IF(C$3&lt;=DataDate, C10, NA())</f>
        <v>62000</v>
      </c>
      <c r="D11" s="6">
        <f t="shared" ref="D11:N11" si="2">IF(D$3&lt;=DataDate, C11+D10, NA())</f>
        <v>135000</v>
      </c>
      <c r="E11" s="6">
        <f t="shared" si="2"/>
        <v>255000</v>
      </c>
      <c r="F11" s="6">
        <f t="shared" si="2"/>
        <v>397000</v>
      </c>
      <c r="G11" s="6">
        <f t="shared" si="2"/>
        <v>574000</v>
      </c>
      <c r="H11" s="6">
        <f t="shared" si="2"/>
        <v>779000</v>
      </c>
      <c r="I11" s="6" t="e">
        <f t="shared" si="2"/>
        <v>#N/A</v>
      </c>
      <c r="J11" s="6" t="e">
        <f t="shared" si="2"/>
        <v>#N/A</v>
      </c>
      <c r="K11" s="6" t="e">
        <f t="shared" si="2"/>
        <v>#N/A</v>
      </c>
      <c r="L11" s="6" t="e">
        <f t="shared" si="2"/>
        <v>#N/A</v>
      </c>
      <c r="M11" s="6" t="e">
        <f t="shared" si="2"/>
        <v>#N/A</v>
      </c>
      <c r="N11" s="6" t="e">
        <f t="shared" si="2"/>
        <v>#N/A</v>
      </c>
      <c r="O11" s="6"/>
    </row>
    <row r="13" spans="1:15" x14ac:dyDescent="0.2">
      <c r="A13" t="s">
        <v>27</v>
      </c>
      <c r="O13">
        <f>SUM(O4:O9)-SUM(C10:N10)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7373-7BB2-AD4D-B7A8-0900BB19721B}">
  <dimension ref="A1:O23"/>
  <sheetViews>
    <sheetView workbookViewId="0">
      <selection activeCell="J33" sqref="J33"/>
    </sheetView>
  </sheetViews>
  <sheetFormatPr baseColWidth="10" defaultRowHeight="16" x14ac:dyDescent="0.2"/>
  <cols>
    <col min="1" max="1" width="45.33203125" customWidth="1"/>
    <col min="2" max="2" width="26.6640625" customWidth="1"/>
  </cols>
  <sheetData>
    <row r="1" spans="1:15" x14ac:dyDescent="0.2">
      <c r="A1" s="4" t="s">
        <v>33</v>
      </c>
    </row>
    <row r="2" spans="1:15" x14ac:dyDescent="0.2">
      <c r="A2" t="s">
        <v>34</v>
      </c>
    </row>
    <row r="3" spans="1:15" x14ac:dyDescent="0.2">
      <c r="A3" t="str">
        <f>Budget!A3</f>
        <v>WP ID</v>
      </c>
      <c r="B3" t="str">
        <f>Budget!B3</f>
        <v>Work package</v>
      </c>
      <c r="C3" s="9">
        <f>Budget!C3</f>
        <v>46113</v>
      </c>
      <c r="D3" s="9">
        <f>Budget!D3</f>
        <v>46143</v>
      </c>
      <c r="E3" s="9">
        <f>Budget!E3</f>
        <v>46174</v>
      </c>
      <c r="F3" s="9">
        <f>Budget!F3</f>
        <v>46204</v>
      </c>
      <c r="G3" s="9">
        <f>Budget!G3</f>
        <v>46235</v>
      </c>
      <c r="H3" s="9">
        <f>Budget!H3</f>
        <v>46266</v>
      </c>
      <c r="I3" s="9">
        <f>Budget!I3</f>
        <v>46296</v>
      </c>
      <c r="J3" s="9">
        <f>Budget!J3</f>
        <v>46327</v>
      </c>
      <c r="K3" s="9">
        <f>Budget!K3</f>
        <v>46357</v>
      </c>
      <c r="L3" s="9">
        <f>Budget!L3</f>
        <v>46388</v>
      </c>
      <c r="M3" s="9">
        <f>Budget!M3</f>
        <v>46419</v>
      </c>
      <c r="N3" s="9">
        <f>Budget!N3</f>
        <v>46447</v>
      </c>
      <c r="O3" s="10" t="s">
        <v>35</v>
      </c>
    </row>
    <row r="4" spans="1:15" x14ac:dyDescent="0.2">
      <c r="A4" t="str">
        <f>Budget!A4</f>
        <v>WP01</v>
      </c>
      <c r="B4" t="str">
        <f>Budget!B4</f>
        <v>Design and Surveys</v>
      </c>
      <c r="C4" s="6"/>
      <c r="D4" s="6"/>
      <c r="E4" s="6"/>
      <c r="F4" s="6"/>
      <c r="G4" s="6"/>
      <c r="H4" s="6"/>
      <c r="I4" s="11">
        <v>3000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6">
        <f>SUM(C4:N4)</f>
        <v>3000</v>
      </c>
    </row>
    <row r="5" spans="1:15" x14ac:dyDescent="0.2">
      <c r="A5" t="str">
        <f>Budget!A5</f>
        <v>WP02</v>
      </c>
      <c r="B5" t="str">
        <f>Budget!B5</f>
        <v>Enabling Works</v>
      </c>
      <c r="C5" s="6"/>
      <c r="D5" s="6"/>
      <c r="E5" s="6"/>
      <c r="F5" s="6"/>
      <c r="G5" s="6"/>
      <c r="H5" s="6"/>
      <c r="I5" s="11">
        <v>5000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6">
        <f t="shared" ref="O5:O9" si="0">SUM(C5:N5)</f>
        <v>5000</v>
      </c>
    </row>
    <row r="6" spans="1:15" x14ac:dyDescent="0.2">
      <c r="A6" t="str">
        <f>Budget!A6</f>
        <v>WP03</v>
      </c>
      <c r="B6" t="str">
        <f>Budget!B6</f>
        <v>Civils and Structures</v>
      </c>
      <c r="C6" s="6"/>
      <c r="D6" s="6"/>
      <c r="E6" s="6"/>
      <c r="F6" s="6"/>
      <c r="G6" s="6"/>
      <c r="H6" s="6"/>
      <c r="I6" s="11">
        <v>120000</v>
      </c>
      <c r="J6" s="11">
        <v>130000</v>
      </c>
      <c r="K6" s="11">
        <v>100000</v>
      </c>
      <c r="L6" s="11">
        <v>60000</v>
      </c>
      <c r="M6" s="11">
        <v>0</v>
      </c>
      <c r="N6" s="11">
        <v>0</v>
      </c>
      <c r="O6" s="6">
        <f t="shared" si="0"/>
        <v>410000</v>
      </c>
    </row>
    <row r="7" spans="1:15" x14ac:dyDescent="0.2">
      <c r="A7" t="str">
        <f>Budget!A7</f>
        <v>WP04</v>
      </c>
      <c r="B7" t="str">
        <f>Budget!B7</f>
        <v>Mechanical and Electrical</v>
      </c>
      <c r="C7" s="6"/>
      <c r="D7" s="6"/>
      <c r="E7" s="6"/>
      <c r="F7" s="6"/>
      <c r="G7" s="6"/>
      <c r="H7" s="6"/>
      <c r="I7" s="11">
        <v>90000</v>
      </c>
      <c r="J7" s="11">
        <v>110000</v>
      </c>
      <c r="K7" s="11">
        <v>110000</v>
      </c>
      <c r="L7" s="11">
        <v>100000</v>
      </c>
      <c r="M7" s="11">
        <v>60000</v>
      </c>
      <c r="N7" s="11">
        <v>20000</v>
      </c>
      <c r="O7" s="6">
        <f t="shared" si="0"/>
        <v>490000</v>
      </c>
    </row>
    <row r="8" spans="1:15" x14ac:dyDescent="0.2">
      <c r="A8" t="str">
        <f>Budget!A8</f>
        <v>WP05</v>
      </c>
      <c r="B8" t="str">
        <f>Budget!B8</f>
        <v>Fit-out and Finishes</v>
      </c>
      <c r="C8" s="6"/>
      <c r="D8" s="6"/>
      <c r="E8" s="6"/>
      <c r="F8" s="6"/>
      <c r="G8" s="6"/>
      <c r="H8" s="6"/>
      <c r="I8" s="11">
        <v>0</v>
      </c>
      <c r="J8" s="11">
        <v>60000</v>
      </c>
      <c r="K8" s="11">
        <v>100000</v>
      </c>
      <c r="L8" s="11">
        <v>130000</v>
      </c>
      <c r="M8" s="11">
        <v>160000</v>
      </c>
      <c r="N8" s="11">
        <v>150000</v>
      </c>
      <c r="O8" s="6">
        <f t="shared" si="0"/>
        <v>600000</v>
      </c>
    </row>
    <row r="9" spans="1:15" x14ac:dyDescent="0.2">
      <c r="A9" t="str">
        <f>Budget!A9</f>
        <v>WP06</v>
      </c>
      <c r="B9" t="str">
        <f>Budget!B9</f>
        <v>Testing and Handover</v>
      </c>
      <c r="C9" s="6"/>
      <c r="D9" s="6"/>
      <c r="E9" s="6"/>
      <c r="F9" s="6"/>
      <c r="G9" s="6"/>
      <c r="H9" s="6"/>
      <c r="I9" s="11">
        <v>0</v>
      </c>
      <c r="J9" s="11">
        <v>0</v>
      </c>
      <c r="K9" s="11">
        <v>0</v>
      </c>
      <c r="L9" s="11">
        <v>20000</v>
      </c>
      <c r="M9" s="11">
        <v>60000</v>
      </c>
      <c r="N9" s="11">
        <v>120000</v>
      </c>
      <c r="O9" s="6">
        <f t="shared" si="0"/>
        <v>200000</v>
      </c>
    </row>
    <row r="10" spans="1:15" x14ac:dyDescent="0.2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">
      <c r="A12" s="4" t="s">
        <v>36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">
      <c r="A13" t="str">
        <f>A3</f>
        <v>WP ID</v>
      </c>
      <c r="B13" t="str">
        <f t="shared" ref="B13:N13" si="1">B3</f>
        <v>Work package</v>
      </c>
      <c r="C13" s="9">
        <f t="shared" si="1"/>
        <v>46113</v>
      </c>
      <c r="D13" s="9">
        <f t="shared" si="1"/>
        <v>46143</v>
      </c>
      <c r="E13" s="9">
        <f t="shared" si="1"/>
        <v>46174</v>
      </c>
      <c r="F13" s="9">
        <f t="shared" si="1"/>
        <v>46204</v>
      </c>
      <c r="G13" s="9">
        <f t="shared" si="1"/>
        <v>46235</v>
      </c>
      <c r="H13" s="9">
        <f t="shared" si="1"/>
        <v>46266</v>
      </c>
      <c r="I13" s="9">
        <f t="shared" si="1"/>
        <v>46296</v>
      </c>
      <c r="J13" s="9">
        <f t="shared" si="1"/>
        <v>46327</v>
      </c>
      <c r="K13" s="9">
        <f t="shared" si="1"/>
        <v>46357</v>
      </c>
      <c r="L13" s="9">
        <f t="shared" si="1"/>
        <v>46388</v>
      </c>
      <c r="M13" s="9">
        <f t="shared" si="1"/>
        <v>46419</v>
      </c>
      <c r="N13" s="9">
        <f t="shared" si="1"/>
        <v>46447</v>
      </c>
      <c r="O13" s="12" t="s">
        <v>37</v>
      </c>
    </row>
    <row r="14" spans="1:15" x14ac:dyDescent="0.2">
      <c r="A14" t="str">
        <f>A4</f>
        <v>WP01</v>
      </c>
      <c r="B14" t="str">
        <f>B4</f>
        <v>Design and Surveys</v>
      </c>
      <c r="C14" s="6">
        <f>IF(C$3&lt;=DataDate, Actuals!C4, C4)</f>
        <v>62000</v>
      </c>
      <c r="D14" s="6">
        <f>IF(D$3&lt;=DataDate, Actuals!D4, D4)</f>
        <v>55000</v>
      </c>
      <c r="E14" s="6">
        <f>IF(E$3&lt;=DataDate, Actuals!E4, E4)</f>
        <v>45000</v>
      </c>
      <c r="F14" s="6">
        <f>IF(F$3&lt;=DataDate, Actuals!F4, F4)</f>
        <v>25000</v>
      </c>
      <c r="G14" s="6">
        <f>IF(G$3&lt;=DataDate, Actuals!G4, G4)</f>
        <v>12000</v>
      </c>
      <c r="H14" s="6">
        <f>IF(H$3&lt;=DataDate, Actuals!H4, H4)</f>
        <v>5000</v>
      </c>
      <c r="I14" s="6">
        <f>IF(I$3&lt;=DataDate, Actuals!I4, I4)</f>
        <v>3000</v>
      </c>
      <c r="J14" s="6">
        <f>IF(J$3&lt;=DataDate, Actuals!J4, J4)</f>
        <v>0</v>
      </c>
      <c r="K14" s="6">
        <f>IF(K$3&lt;=DataDate, Actuals!K4, K4)</f>
        <v>0</v>
      </c>
      <c r="L14" s="6">
        <f>IF(L$3&lt;=DataDate, Actuals!L4, L4)</f>
        <v>0</v>
      </c>
      <c r="M14" s="6">
        <f>IF(M$3&lt;=DataDate, Actuals!M4, M4)</f>
        <v>0</v>
      </c>
      <c r="N14" s="6">
        <f>IF(N$3&lt;=DataDate, Actuals!N4, N4)</f>
        <v>0</v>
      </c>
      <c r="O14" s="6">
        <f>SUM(C14:N14)</f>
        <v>207000</v>
      </c>
    </row>
    <row r="15" spans="1:15" x14ac:dyDescent="0.2">
      <c r="A15" t="str">
        <f t="shared" ref="A15:B15" si="2">A5</f>
        <v>WP02</v>
      </c>
      <c r="B15" t="str">
        <f t="shared" si="2"/>
        <v>Enabling Works</v>
      </c>
      <c r="C15" s="6">
        <f>IF(C$3&lt;=DataDate, Actuals!C5, C5)</f>
        <v>0</v>
      </c>
      <c r="D15" s="6">
        <f>IF(D$3&lt;=DataDate, Actuals!D5, D5)</f>
        <v>18000</v>
      </c>
      <c r="E15" s="6">
        <f>IF(E$3&lt;=DataDate, Actuals!E5, E5)</f>
        <v>45000</v>
      </c>
      <c r="F15" s="6">
        <f>IF(F$3&lt;=DataDate, Actuals!F5, F5)</f>
        <v>52000</v>
      </c>
      <c r="G15" s="6">
        <f>IF(G$3&lt;=DataDate, Actuals!G5, G5)</f>
        <v>30000</v>
      </c>
      <c r="H15" s="6">
        <f>IF(H$3&lt;=DataDate, Actuals!H5, H5)</f>
        <v>10000</v>
      </c>
      <c r="I15" s="6">
        <f>IF(I$3&lt;=DataDate, Actuals!I5, I5)</f>
        <v>5000</v>
      </c>
      <c r="J15" s="6">
        <f>IF(J$3&lt;=DataDate, Actuals!J5, J5)</f>
        <v>0</v>
      </c>
      <c r="K15" s="6">
        <f>IF(K$3&lt;=DataDate, Actuals!K5, K5)</f>
        <v>0</v>
      </c>
      <c r="L15" s="6">
        <f>IF(L$3&lt;=DataDate, Actuals!L5, L5)</f>
        <v>0</v>
      </c>
      <c r="M15" s="6">
        <f>IF(M$3&lt;=DataDate, Actuals!M5, M5)</f>
        <v>0</v>
      </c>
      <c r="N15" s="6">
        <f>IF(N$3&lt;=DataDate, Actuals!N5, N5)</f>
        <v>0</v>
      </c>
      <c r="O15" s="6">
        <f t="shared" ref="O15:O19" si="3">SUM(C15:N15)</f>
        <v>160000</v>
      </c>
    </row>
    <row r="16" spans="1:15" x14ac:dyDescent="0.2">
      <c r="A16" t="str">
        <f t="shared" ref="A16:B16" si="4">A6</f>
        <v>WP03</v>
      </c>
      <c r="B16" t="str">
        <f t="shared" si="4"/>
        <v>Civils and Structures</v>
      </c>
      <c r="C16" s="6">
        <f>IF(C$3&lt;=DataDate, Actuals!C6, C6)</f>
        <v>0</v>
      </c>
      <c r="D16" s="6">
        <f>IF(D$3&lt;=DataDate, Actuals!D6, D6)</f>
        <v>0</v>
      </c>
      <c r="E16" s="6">
        <f>IF(E$3&lt;=DataDate, Actuals!E6, E6)</f>
        <v>30000</v>
      </c>
      <c r="F16" s="6">
        <f>IF(F$3&lt;=DataDate, Actuals!F6, F6)</f>
        <v>65000</v>
      </c>
      <c r="G16" s="6">
        <f>IF(G$3&lt;=DataDate, Actuals!G6, G6)</f>
        <v>100000</v>
      </c>
      <c r="H16" s="6">
        <f>IF(H$3&lt;=DataDate, Actuals!H6, H6)</f>
        <v>115000</v>
      </c>
      <c r="I16" s="6">
        <f>IF(I$3&lt;=DataDate, Actuals!I6, I6)</f>
        <v>120000</v>
      </c>
      <c r="J16" s="6">
        <f>IF(J$3&lt;=DataDate, Actuals!J6, J6)</f>
        <v>130000</v>
      </c>
      <c r="K16" s="6">
        <f>IF(K$3&lt;=DataDate, Actuals!K6, K6)</f>
        <v>100000</v>
      </c>
      <c r="L16" s="6">
        <f>IF(L$3&lt;=DataDate, Actuals!L6, L6)</f>
        <v>60000</v>
      </c>
      <c r="M16" s="6">
        <f>IF(M$3&lt;=DataDate, Actuals!M6, M6)</f>
        <v>0</v>
      </c>
      <c r="N16" s="6">
        <f>IF(N$3&lt;=DataDate, Actuals!N6, N6)</f>
        <v>0</v>
      </c>
      <c r="O16" s="6">
        <f t="shared" si="3"/>
        <v>720000</v>
      </c>
    </row>
    <row r="17" spans="1:15" x14ac:dyDescent="0.2">
      <c r="A17" t="str">
        <f t="shared" ref="A17:B17" si="5">A7</f>
        <v>WP04</v>
      </c>
      <c r="B17" t="str">
        <f t="shared" si="5"/>
        <v>Mechanical and Electrical</v>
      </c>
      <c r="C17" s="6">
        <f>IF(C$3&lt;=DataDate, Actuals!C7, C7)</f>
        <v>0</v>
      </c>
      <c r="D17" s="6">
        <f>IF(D$3&lt;=DataDate, Actuals!D7, D7)</f>
        <v>0</v>
      </c>
      <c r="E17" s="6">
        <f>IF(E$3&lt;=DataDate, Actuals!E7, E7)</f>
        <v>0</v>
      </c>
      <c r="F17" s="6">
        <f>IF(F$3&lt;=DataDate, Actuals!F7, F7)</f>
        <v>0</v>
      </c>
      <c r="G17" s="6">
        <f>IF(G$3&lt;=DataDate, Actuals!G7, G7)</f>
        <v>35000</v>
      </c>
      <c r="H17" s="6">
        <f>IF(H$3&lt;=DataDate, Actuals!H7, H7)</f>
        <v>75000</v>
      </c>
      <c r="I17" s="6">
        <f>IF(I$3&lt;=DataDate, Actuals!I7, I7)</f>
        <v>90000</v>
      </c>
      <c r="J17" s="6">
        <f>IF(J$3&lt;=DataDate, Actuals!J7, J7)</f>
        <v>110000</v>
      </c>
      <c r="K17" s="6">
        <f>IF(K$3&lt;=DataDate, Actuals!K7, K7)</f>
        <v>110000</v>
      </c>
      <c r="L17" s="6">
        <f>IF(L$3&lt;=DataDate, Actuals!L7, L7)</f>
        <v>100000</v>
      </c>
      <c r="M17" s="6">
        <f>IF(M$3&lt;=DataDate, Actuals!M7, M7)</f>
        <v>60000</v>
      </c>
      <c r="N17" s="6">
        <f>IF(N$3&lt;=DataDate, Actuals!N7, N7)</f>
        <v>20000</v>
      </c>
      <c r="O17" s="6">
        <f t="shared" si="3"/>
        <v>600000</v>
      </c>
    </row>
    <row r="18" spans="1:15" x14ac:dyDescent="0.2">
      <c r="A18" t="str">
        <f t="shared" ref="A18:B18" si="6">A8</f>
        <v>WP05</v>
      </c>
      <c r="B18" t="str">
        <f t="shared" si="6"/>
        <v>Fit-out and Finishes</v>
      </c>
      <c r="C18" s="6">
        <f>IF(C$3&lt;=DataDate, Actuals!C8, C8)</f>
        <v>0</v>
      </c>
      <c r="D18" s="6">
        <f>IF(D$3&lt;=DataDate, Actuals!D8, D8)</f>
        <v>0</v>
      </c>
      <c r="E18" s="6">
        <f>IF(E$3&lt;=DataDate, Actuals!E8, E8)</f>
        <v>0</v>
      </c>
      <c r="F18" s="6">
        <f>IF(F$3&lt;=DataDate, Actuals!F8, F8)</f>
        <v>0</v>
      </c>
      <c r="G18" s="6">
        <f>IF(G$3&lt;=DataDate, Actuals!G8, G8)</f>
        <v>0</v>
      </c>
      <c r="H18" s="6">
        <f>IF(H$3&lt;=DataDate, Actuals!H8, H8)</f>
        <v>0</v>
      </c>
      <c r="I18" s="6">
        <f>IF(I$3&lt;=DataDate, Actuals!I8, I8)</f>
        <v>0</v>
      </c>
      <c r="J18" s="6">
        <f>IF(J$3&lt;=DataDate, Actuals!J8, J8)</f>
        <v>60000</v>
      </c>
      <c r="K18" s="6">
        <f>IF(K$3&lt;=DataDate, Actuals!K8, K8)</f>
        <v>100000</v>
      </c>
      <c r="L18" s="6">
        <f>IF(L$3&lt;=DataDate, Actuals!L8, L8)</f>
        <v>130000</v>
      </c>
      <c r="M18" s="6">
        <f>IF(M$3&lt;=DataDate, Actuals!M8, M8)</f>
        <v>160000</v>
      </c>
      <c r="N18" s="6">
        <f>IF(N$3&lt;=DataDate, Actuals!N8, N8)</f>
        <v>150000</v>
      </c>
      <c r="O18" s="6">
        <f t="shared" si="3"/>
        <v>600000</v>
      </c>
    </row>
    <row r="19" spans="1:15" x14ac:dyDescent="0.2">
      <c r="A19" t="str">
        <f t="shared" ref="A19:B19" si="7">A9</f>
        <v>WP06</v>
      </c>
      <c r="B19" t="str">
        <f t="shared" si="7"/>
        <v>Testing and Handover</v>
      </c>
      <c r="C19" s="6">
        <f>IF(C$3&lt;=DataDate, Actuals!C9, C9)</f>
        <v>0</v>
      </c>
      <c r="D19" s="6">
        <f>IF(D$3&lt;=DataDate, Actuals!D9, D9)</f>
        <v>0</v>
      </c>
      <c r="E19" s="6">
        <f>IF(E$3&lt;=DataDate, Actuals!E9, E9)</f>
        <v>0</v>
      </c>
      <c r="F19" s="6">
        <f>IF(F$3&lt;=DataDate, Actuals!F9, F9)</f>
        <v>0</v>
      </c>
      <c r="G19" s="6">
        <f>IF(G$3&lt;=DataDate, Actuals!G9, G9)</f>
        <v>0</v>
      </c>
      <c r="H19" s="6">
        <f>IF(H$3&lt;=DataDate, Actuals!H9, H9)</f>
        <v>0</v>
      </c>
      <c r="I19" s="6">
        <f>IF(I$3&lt;=DataDate, Actuals!I9, I9)</f>
        <v>0</v>
      </c>
      <c r="J19" s="6">
        <f>IF(J$3&lt;=DataDate, Actuals!J9, J9)</f>
        <v>0</v>
      </c>
      <c r="K19" s="6">
        <f>IF(K$3&lt;=DataDate, Actuals!K9, K9)</f>
        <v>0</v>
      </c>
      <c r="L19" s="6">
        <f>IF(L$3&lt;=DataDate, Actuals!L9, L9)</f>
        <v>20000</v>
      </c>
      <c r="M19" s="6">
        <f>IF(M$3&lt;=DataDate, Actuals!M9, M9)</f>
        <v>60000</v>
      </c>
      <c r="N19" s="6">
        <f>IF(N$3&lt;=DataDate, Actuals!N9, N9)</f>
        <v>120000</v>
      </c>
      <c r="O19" s="6">
        <f t="shared" si="3"/>
        <v>200000</v>
      </c>
    </row>
    <row r="20" spans="1:15" x14ac:dyDescent="0.2">
      <c r="A20" t="s">
        <v>31</v>
      </c>
      <c r="C20" s="6">
        <f>SUM(C14:C19)</f>
        <v>62000</v>
      </c>
      <c r="D20" s="6">
        <f t="shared" ref="D20:O20" si="8">SUM(D14:D19)</f>
        <v>73000</v>
      </c>
      <c r="E20" s="6">
        <f t="shared" si="8"/>
        <v>120000</v>
      </c>
      <c r="F20" s="6">
        <f t="shared" si="8"/>
        <v>142000</v>
      </c>
      <c r="G20" s="6">
        <f t="shared" si="8"/>
        <v>177000</v>
      </c>
      <c r="H20" s="6">
        <f t="shared" si="8"/>
        <v>205000</v>
      </c>
      <c r="I20" s="6">
        <f t="shared" si="8"/>
        <v>218000</v>
      </c>
      <c r="J20" s="6">
        <f t="shared" si="8"/>
        <v>300000</v>
      </c>
      <c r="K20" s="6">
        <f t="shared" si="8"/>
        <v>310000</v>
      </c>
      <c r="L20" s="6">
        <f t="shared" si="8"/>
        <v>310000</v>
      </c>
      <c r="M20" s="6">
        <f t="shared" si="8"/>
        <v>280000</v>
      </c>
      <c r="N20" s="6">
        <f t="shared" si="8"/>
        <v>290000</v>
      </c>
      <c r="O20" s="6">
        <f t="shared" si="8"/>
        <v>2487000</v>
      </c>
    </row>
    <row r="21" spans="1:15" x14ac:dyDescent="0.2">
      <c r="A21" t="s">
        <v>38</v>
      </c>
      <c r="C21" s="6">
        <f>C20</f>
        <v>62000</v>
      </c>
      <c r="D21" s="6">
        <f>C21+D20</f>
        <v>135000</v>
      </c>
      <c r="E21" s="6">
        <f t="shared" ref="E21:N21" si="9">D21+E20</f>
        <v>255000</v>
      </c>
      <c r="F21" s="6">
        <f t="shared" si="9"/>
        <v>397000</v>
      </c>
      <c r="G21" s="6">
        <f t="shared" si="9"/>
        <v>574000</v>
      </c>
      <c r="H21" s="6">
        <f t="shared" si="9"/>
        <v>779000</v>
      </c>
      <c r="I21" s="6">
        <f t="shared" si="9"/>
        <v>997000</v>
      </c>
      <c r="J21" s="6">
        <f t="shared" si="9"/>
        <v>1297000</v>
      </c>
      <c r="K21" s="6">
        <f t="shared" si="9"/>
        <v>1607000</v>
      </c>
      <c r="L21" s="6">
        <f t="shared" si="9"/>
        <v>1917000</v>
      </c>
      <c r="M21" s="6">
        <f t="shared" si="9"/>
        <v>2197000</v>
      </c>
      <c r="N21" s="6">
        <f t="shared" si="9"/>
        <v>2487000</v>
      </c>
      <c r="O21" s="6"/>
    </row>
    <row r="23" spans="1:15" x14ac:dyDescent="0.2">
      <c r="A23" t="s">
        <v>27</v>
      </c>
      <c r="O23" s="6">
        <f>O20-(Actuals!O10+SUM(O4:O9))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C2AE-23D2-E14B-B0E6-24BF209B91A8}">
  <dimension ref="A1:J14"/>
  <sheetViews>
    <sheetView workbookViewId="0">
      <selection activeCell="F10" sqref="F10"/>
    </sheetView>
  </sheetViews>
  <sheetFormatPr baseColWidth="10" defaultRowHeight="16" x14ac:dyDescent="0.2"/>
  <cols>
    <col min="1" max="1" width="31.83203125" customWidth="1"/>
    <col min="2" max="2" width="24.33203125" customWidth="1"/>
    <col min="3" max="3" width="15" customWidth="1"/>
    <col min="4" max="4" width="15.33203125" customWidth="1"/>
    <col min="5" max="5" width="15.83203125" customWidth="1"/>
    <col min="6" max="6" width="15" customWidth="1"/>
    <col min="8" max="8" width="20.5" customWidth="1"/>
  </cols>
  <sheetData>
    <row r="1" spans="1:10" x14ac:dyDescent="0.2">
      <c r="A1" s="4" t="s">
        <v>39</v>
      </c>
    </row>
    <row r="3" spans="1:10" x14ac:dyDescent="0.2">
      <c r="A3" t="s">
        <v>12</v>
      </c>
      <c r="B3" t="s">
        <v>13</v>
      </c>
      <c r="C3" t="s">
        <v>45</v>
      </c>
      <c r="D3" t="s">
        <v>40</v>
      </c>
      <c r="E3" t="s">
        <v>41</v>
      </c>
      <c r="F3" t="s">
        <v>42</v>
      </c>
      <c r="G3" t="s">
        <v>37</v>
      </c>
      <c r="H3" t="s">
        <v>46</v>
      </c>
      <c r="I3" t="s">
        <v>44</v>
      </c>
      <c r="J3" t="s">
        <v>43</v>
      </c>
    </row>
    <row r="4" spans="1:10" x14ac:dyDescent="0.2">
      <c r="A4" t="str">
        <f>Budget!A4</f>
        <v>WP01</v>
      </c>
      <c r="B4" t="str">
        <f>Budget!B4</f>
        <v>Design and Surveys</v>
      </c>
      <c r="C4" s="6">
        <f>Budget!O4</f>
        <v>180000</v>
      </c>
      <c r="D4" s="6">
        <f>SUMIF(Budget!$C$3:$N$3,"&lt;="&amp;DataDate,Budget!C4:N4)</f>
        <v>180000</v>
      </c>
      <c r="E4" s="6">
        <f>Actuals!O4</f>
        <v>204000</v>
      </c>
      <c r="F4" s="13">
        <f>D4-E4</f>
        <v>-24000</v>
      </c>
      <c r="G4" s="13">
        <f>Forecast!O14</f>
        <v>207000</v>
      </c>
      <c r="H4" s="13">
        <f>C4-G4</f>
        <v>-27000</v>
      </c>
      <c r="I4" s="14">
        <f>IF(C4=0,0,H4/C4)</f>
        <v>-0.15</v>
      </c>
      <c r="J4" t="str">
        <f>IF(I4&gt;=0,"Green",IF(I4&gt;=-0.05,"Amber","Red"))</f>
        <v>Red</v>
      </c>
    </row>
    <row r="5" spans="1:10" x14ac:dyDescent="0.2">
      <c r="A5" t="str">
        <f>Budget!A5</f>
        <v>WP02</v>
      </c>
      <c r="B5" t="str">
        <f>Budget!B5</f>
        <v>Enabling Works</v>
      </c>
      <c r="C5" s="6">
        <f>Budget!O5</f>
        <v>120000</v>
      </c>
      <c r="D5" s="6">
        <f>SUMIF(Budget!$C$3:$N$3,"&lt;="&amp;DataDate,Budget!C5:N5)</f>
        <v>120000</v>
      </c>
      <c r="E5" s="6">
        <f>Actuals!O5</f>
        <v>155000</v>
      </c>
      <c r="F5" s="13">
        <f t="shared" ref="F5:F10" si="0">D5-E5</f>
        <v>-35000</v>
      </c>
      <c r="G5" s="13">
        <f>Forecast!O15</f>
        <v>160000</v>
      </c>
      <c r="H5" s="13">
        <f t="shared" ref="H5:H9" si="1">C5-G5</f>
        <v>-40000</v>
      </c>
      <c r="I5" s="14">
        <f t="shared" ref="I5:I10" si="2">IF(C5=0,0,H5/C5)</f>
        <v>-0.33333333333333331</v>
      </c>
      <c r="J5" t="str">
        <f t="shared" ref="J5:J10" si="3">IF(I5&gt;=0,"Green",IF(I5&gt;=-0.05,"Amber","Red"))</f>
        <v>Red</v>
      </c>
    </row>
    <row r="6" spans="1:10" x14ac:dyDescent="0.2">
      <c r="A6" t="str">
        <f>Budget!A6</f>
        <v>WP03</v>
      </c>
      <c r="B6" t="str">
        <f>Budget!B6</f>
        <v>Civils and Structures</v>
      </c>
      <c r="C6" s="6">
        <f>Budget!O6</f>
        <v>700000</v>
      </c>
      <c r="D6" s="6">
        <f>SUMIF(Budget!$C$3:$N$3,"&lt;="&amp;DataDate,Budget!C6:N6)</f>
        <v>380000</v>
      </c>
      <c r="E6" s="6">
        <f>Actuals!O6</f>
        <v>310000</v>
      </c>
      <c r="F6" s="13">
        <f t="shared" si="0"/>
        <v>70000</v>
      </c>
      <c r="G6" s="13">
        <f>Forecast!O16</f>
        <v>720000</v>
      </c>
      <c r="H6" s="13">
        <f t="shared" si="1"/>
        <v>-20000</v>
      </c>
      <c r="I6" s="14">
        <f t="shared" si="2"/>
        <v>-2.8571428571428571E-2</v>
      </c>
      <c r="J6" t="str">
        <f t="shared" si="3"/>
        <v>Amber</v>
      </c>
    </row>
    <row r="7" spans="1:10" x14ac:dyDescent="0.2">
      <c r="A7" t="str">
        <f>Budget!A7</f>
        <v>WP04</v>
      </c>
      <c r="B7" t="str">
        <f>Budget!B7</f>
        <v>Mechanical and Electrical</v>
      </c>
      <c r="C7" s="6">
        <f>Budget!O7</f>
        <v>600000</v>
      </c>
      <c r="D7" s="6">
        <f>SUMIF(Budget!$C$3:$N$3,"&lt;="&amp;DataDate,Budget!C7:N7)</f>
        <v>120000</v>
      </c>
      <c r="E7" s="6">
        <f>Actuals!O7</f>
        <v>110000</v>
      </c>
      <c r="F7" s="13">
        <f t="shared" si="0"/>
        <v>10000</v>
      </c>
      <c r="G7" s="13">
        <f>Forecast!O17</f>
        <v>600000</v>
      </c>
      <c r="H7" s="13">
        <f t="shared" si="1"/>
        <v>0</v>
      </c>
      <c r="I7" s="14">
        <f t="shared" si="2"/>
        <v>0</v>
      </c>
      <c r="J7" t="str">
        <f t="shared" si="3"/>
        <v>Green</v>
      </c>
    </row>
    <row r="8" spans="1:10" x14ac:dyDescent="0.2">
      <c r="A8" t="str">
        <f>Budget!A8</f>
        <v>WP05</v>
      </c>
      <c r="B8" t="str">
        <f>Budget!B8</f>
        <v>Fit-out and Finishes</v>
      </c>
      <c r="C8" s="6">
        <f>Budget!O8</f>
        <v>600000</v>
      </c>
      <c r="D8" s="6">
        <f>SUMIF(Budget!$C$3:$N$3,"&lt;="&amp;DataDate,Budget!C8:N8)</f>
        <v>0</v>
      </c>
      <c r="E8" s="6">
        <f>Actuals!O8</f>
        <v>0</v>
      </c>
      <c r="F8" s="13">
        <f t="shared" si="0"/>
        <v>0</v>
      </c>
      <c r="G8" s="13">
        <f>Forecast!O18</f>
        <v>600000</v>
      </c>
      <c r="H8" s="13">
        <f t="shared" si="1"/>
        <v>0</v>
      </c>
      <c r="I8" s="14">
        <f t="shared" si="2"/>
        <v>0</v>
      </c>
      <c r="J8" t="str">
        <f t="shared" si="3"/>
        <v>Green</v>
      </c>
    </row>
    <row r="9" spans="1:10" x14ac:dyDescent="0.2">
      <c r="A9" t="str">
        <f>Budget!A9</f>
        <v>WP06</v>
      </c>
      <c r="B9" t="str">
        <f>Budget!B9</f>
        <v>Testing and Handover</v>
      </c>
      <c r="C9" s="6">
        <f>Budget!O9</f>
        <v>200000</v>
      </c>
      <c r="D9" s="6">
        <f>SUMIF(Budget!$C$3:$N$3,"&lt;="&amp;DataDate,Budget!C9:N9)</f>
        <v>0</v>
      </c>
      <c r="E9" s="6">
        <f>Actuals!O9</f>
        <v>0</v>
      </c>
      <c r="F9" s="13">
        <f t="shared" si="0"/>
        <v>0</v>
      </c>
      <c r="G9" s="13">
        <f>Forecast!O19</f>
        <v>200000</v>
      </c>
      <c r="H9" s="13">
        <f t="shared" si="1"/>
        <v>0</v>
      </c>
      <c r="I9" s="14">
        <f t="shared" si="2"/>
        <v>0</v>
      </c>
      <c r="J9" t="str">
        <f t="shared" si="3"/>
        <v>Green</v>
      </c>
    </row>
    <row r="10" spans="1:10" x14ac:dyDescent="0.2">
      <c r="A10" t="s">
        <v>14</v>
      </c>
      <c r="C10" s="6">
        <f>SUM(C4:C9)</f>
        <v>2400000</v>
      </c>
      <c r="D10" s="6">
        <f>SUMIF(Budget!$C$3:$N$3,"&lt;="&amp;DataDate,Budget!C10:N10)</f>
        <v>800000</v>
      </c>
      <c r="E10" s="6">
        <f t="shared" ref="E10" si="4">SUM(E4:E9)</f>
        <v>779000</v>
      </c>
      <c r="F10" s="13">
        <f t="shared" si="0"/>
        <v>21000</v>
      </c>
      <c r="G10" s="13">
        <f>SUM(G4:G9)</f>
        <v>2487000</v>
      </c>
      <c r="H10" s="13">
        <f>C10-G10</f>
        <v>-87000</v>
      </c>
      <c r="I10" s="14">
        <f t="shared" si="2"/>
        <v>-3.6249999999999998E-2</v>
      </c>
      <c r="J10" t="str">
        <f t="shared" si="3"/>
        <v>Amber</v>
      </c>
    </row>
    <row r="14" spans="1:10" x14ac:dyDescent="0.2">
      <c r="A14" t="s">
        <v>27</v>
      </c>
      <c r="G14" s="13">
        <f>G10-Forecast!O20</f>
        <v>0</v>
      </c>
    </row>
  </sheetData>
  <conditionalFormatting sqref="J4:J10">
    <cfRule type="containsText" dxfId="8" priority="1" operator="containsText" text="Green">
      <formula>NOT(ISERROR(SEARCH("Green",J4)))</formula>
    </cfRule>
    <cfRule type="containsText" dxfId="7" priority="2" operator="containsText" text="Amber">
      <formula>NOT(ISERROR(SEARCH("Amber",J4)))</formula>
    </cfRule>
    <cfRule type="containsText" dxfId="6" priority="3" operator="containsText" text="Red">
      <formula>NOT(ISERROR(SEARCH("Red",J4)))</formula>
    </cfRule>
  </conditionalFormatting>
  <pageMargins left="0.7" right="0.7" top="0.75" bottom="0.75" header="0.3" footer="0.3"/>
  <ignoredErrors>
    <ignoredError sqref="D10 F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F974-F1F9-E947-BC70-1E2A11BD50F3}">
  <dimension ref="A1:J14"/>
  <sheetViews>
    <sheetView tabSelected="1" workbookViewId="0">
      <selection activeCell="I5" sqref="I5"/>
    </sheetView>
  </sheetViews>
  <sheetFormatPr baseColWidth="10" defaultRowHeight="16" x14ac:dyDescent="0.2"/>
  <cols>
    <col min="1" max="1" width="23.6640625" customWidth="1"/>
    <col min="2" max="2" width="12.33203125" customWidth="1"/>
    <col min="4" max="4" width="19.83203125" customWidth="1"/>
    <col min="5" max="5" width="43.5" customWidth="1"/>
    <col min="6" max="6" width="17.83203125" customWidth="1"/>
    <col min="7" max="7" width="16" customWidth="1"/>
    <col min="8" max="8" width="12.83203125" customWidth="1"/>
    <col min="9" max="9" width="16.83203125" customWidth="1"/>
    <col min="10" max="10" width="15.5" customWidth="1"/>
  </cols>
  <sheetData>
    <row r="1" spans="1:10" x14ac:dyDescent="0.2">
      <c r="A1" s="4" t="s">
        <v>47</v>
      </c>
    </row>
    <row r="3" spans="1:10" x14ac:dyDescent="0.2">
      <c r="A3" t="s">
        <v>48</v>
      </c>
      <c r="B3" t="s">
        <v>49</v>
      </c>
      <c r="C3" t="s">
        <v>12</v>
      </c>
      <c r="D3" t="s">
        <v>13</v>
      </c>
      <c r="E3" t="s">
        <v>50</v>
      </c>
      <c r="F3" t="s">
        <v>51</v>
      </c>
      <c r="G3" t="s">
        <v>52</v>
      </c>
      <c r="H3" t="s">
        <v>43</v>
      </c>
      <c r="I3" t="s">
        <v>53</v>
      </c>
      <c r="J3" t="s">
        <v>54</v>
      </c>
    </row>
    <row r="4" spans="1:10" x14ac:dyDescent="0.2">
      <c r="A4" t="s">
        <v>55</v>
      </c>
      <c r="B4" s="15">
        <v>46188</v>
      </c>
      <c r="C4" t="s">
        <v>16</v>
      </c>
      <c r="D4" t="str">
        <f>_xlfn.XLOOKUP(C4, Budget!$A$4:$A$9, Budget!$B$4:$B$9, "Not Found")</f>
        <v>Enabling Works</v>
      </c>
      <c r="E4" t="s">
        <v>56</v>
      </c>
      <c r="F4" t="s">
        <v>57</v>
      </c>
      <c r="G4" s="11">
        <v>35000</v>
      </c>
      <c r="H4" t="s">
        <v>58</v>
      </c>
      <c r="I4" t="s">
        <v>114</v>
      </c>
      <c r="J4" s="15">
        <v>46203</v>
      </c>
    </row>
    <row r="5" spans="1:10" x14ac:dyDescent="0.2">
      <c r="A5" t="s">
        <v>59</v>
      </c>
      <c r="B5" s="15">
        <v>46254</v>
      </c>
      <c r="C5" t="s">
        <v>15</v>
      </c>
      <c r="D5" t="str">
        <f>_xlfn.XLOOKUP(C5, Budget!$A$4:$A$9, Budget!$B$4:$B$9, "Not Found")</f>
        <v>Design and Surveys</v>
      </c>
      <c r="E5" t="s">
        <v>60</v>
      </c>
      <c r="F5" t="s">
        <v>61</v>
      </c>
      <c r="G5" s="11">
        <v>25000</v>
      </c>
      <c r="H5" t="s">
        <v>58</v>
      </c>
      <c r="I5" t="s">
        <v>114</v>
      </c>
      <c r="J5" s="15">
        <v>46270</v>
      </c>
    </row>
    <row r="6" spans="1:10" x14ac:dyDescent="0.2">
      <c r="A6" t="s">
        <v>62</v>
      </c>
      <c r="B6" s="15">
        <v>46290</v>
      </c>
      <c r="C6" t="s">
        <v>17</v>
      </c>
      <c r="D6" t="str">
        <f>_xlfn.XLOOKUP(C6, Budget!$A$4:$A$9, Budget!$B$4:$B$9, "Not Found")</f>
        <v>Civils and Structures</v>
      </c>
      <c r="E6" t="s">
        <v>63</v>
      </c>
      <c r="F6" t="s">
        <v>64</v>
      </c>
      <c r="G6" s="11">
        <v>20000</v>
      </c>
      <c r="H6" t="s">
        <v>65</v>
      </c>
    </row>
    <row r="9" spans="1:10" x14ac:dyDescent="0.2">
      <c r="A9" t="s">
        <v>66</v>
      </c>
      <c r="B9" s="13">
        <f>Budget!O10</f>
        <v>2400000</v>
      </c>
    </row>
    <row r="10" spans="1:10" x14ac:dyDescent="0.2">
      <c r="A10" t="s">
        <v>67</v>
      </c>
      <c r="B10" s="13">
        <f>SUMIFS(G4:G20,H4:H20,"Approved")</f>
        <v>60000</v>
      </c>
    </row>
    <row r="11" spans="1:10" x14ac:dyDescent="0.2">
      <c r="A11" t="s">
        <v>68</v>
      </c>
      <c r="B11" s="13">
        <f>B9+B10</f>
        <v>2460000</v>
      </c>
    </row>
    <row r="12" spans="1:10" x14ac:dyDescent="0.2">
      <c r="A12" t="s">
        <v>37</v>
      </c>
      <c r="B12" s="13">
        <f>Forecast!O20</f>
        <v>2487000</v>
      </c>
    </row>
    <row r="13" spans="1:10" x14ac:dyDescent="0.2">
      <c r="A13" t="s">
        <v>69</v>
      </c>
      <c r="B13" s="13">
        <f>B11-B12</f>
        <v>-27000</v>
      </c>
    </row>
    <row r="14" spans="1:10" x14ac:dyDescent="0.2">
      <c r="A14" t="s">
        <v>70</v>
      </c>
      <c r="B14" s="13">
        <f>SUMIFS(G4:G20,H4:H20,"Proposed")</f>
        <v>20000</v>
      </c>
    </row>
  </sheetData>
  <dataValidations count="1">
    <dataValidation type="list" allowBlank="1" showInputMessage="1" showErrorMessage="1" sqref="H4:H20" xr:uid="{29E41E51-06D0-8843-8A9F-9E20288BC3E8}">
      <formula1>"Proposed,Approved,Rejected"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B1C0-FC71-5E4F-A021-55C35DF5FF7A}">
  <dimension ref="A1:O16"/>
  <sheetViews>
    <sheetView workbookViewId="0">
      <selection activeCell="D24" sqref="D24"/>
    </sheetView>
  </sheetViews>
  <sheetFormatPr baseColWidth="10" defaultRowHeight="16" x14ac:dyDescent="0.2"/>
  <cols>
    <col min="1" max="1" width="32.6640625" customWidth="1"/>
    <col min="4" max="4" width="28" customWidth="1"/>
    <col min="5" max="5" width="52.6640625" customWidth="1"/>
    <col min="6" max="6" width="18.6640625" customWidth="1"/>
    <col min="7" max="7" width="15" customWidth="1"/>
    <col min="8" max="8" width="12.6640625" customWidth="1"/>
    <col min="11" max="11" width="17.1640625" style="6" customWidth="1"/>
    <col min="12" max="12" width="10.83203125" style="17"/>
    <col min="13" max="13" width="17.5" style="6" customWidth="1"/>
    <col min="14" max="14" width="41.33203125" customWidth="1"/>
  </cols>
  <sheetData>
    <row r="1" spans="1:15" x14ac:dyDescent="0.2">
      <c r="A1" s="4" t="s">
        <v>71</v>
      </c>
    </row>
    <row r="3" spans="1:15" x14ac:dyDescent="0.2">
      <c r="A3" t="s">
        <v>72</v>
      </c>
      <c r="B3" t="s">
        <v>49</v>
      </c>
      <c r="C3" t="s">
        <v>12</v>
      </c>
      <c r="D3" t="s">
        <v>13</v>
      </c>
      <c r="E3" t="s">
        <v>50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6" t="s">
        <v>78</v>
      </c>
      <c r="L3" s="17" t="s">
        <v>79</v>
      </c>
      <c r="M3" s="6" t="s">
        <v>80</v>
      </c>
      <c r="N3" t="s">
        <v>81</v>
      </c>
      <c r="O3" t="s">
        <v>43</v>
      </c>
    </row>
    <row r="4" spans="1:15" ht="17" x14ac:dyDescent="0.25">
      <c r="A4" t="s">
        <v>82</v>
      </c>
      <c r="B4" s="15">
        <v>46266</v>
      </c>
      <c r="C4" t="s">
        <v>17</v>
      </c>
      <c r="D4" t="str">
        <f>_xlfn.XLOOKUP(C4, Budget!$A$4:$A$9, Budget!$B$4:$B$9, "Not Found")</f>
        <v>Civils and Structures</v>
      </c>
      <c r="E4" t="s">
        <v>87</v>
      </c>
      <c r="F4" t="s">
        <v>92</v>
      </c>
      <c r="G4">
        <v>4</v>
      </c>
      <c r="H4">
        <v>4</v>
      </c>
      <c r="I4">
        <f>G4*H4</f>
        <v>16</v>
      </c>
      <c r="J4" s="16" t="str">
        <f>IF(I4&gt;=15,"High",IF(I4&gt;=8,"Medium","Low"))</f>
        <v>High</v>
      </c>
      <c r="K4" s="6">
        <v>60000</v>
      </c>
      <c r="L4" s="17">
        <v>0.5</v>
      </c>
      <c r="M4" s="6">
        <f>K4*L4</f>
        <v>30000</v>
      </c>
      <c r="N4" t="s">
        <v>96</v>
      </c>
      <c r="O4" t="s">
        <v>101</v>
      </c>
    </row>
    <row r="5" spans="1:15" ht="17" x14ac:dyDescent="0.25">
      <c r="A5" t="s">
        <v>83</v>
      </c>
      <c r="B5" s="15">
        <v>46270</v>
      </c>
      <c r="C5" t="s">
        <v>18</v>
      </c>
      <c r="D5" t="str">
        <f>_xlfn.XLOOKUP(C5, Budget!$A$4:$A$9, Budget!$B$4:$B$9, "Not Found")</f>
        <v>Mechanical and Electrical</v>
      </c>
      <c r="E5" t="s">
        <v>88</v>
      </c>
      <c r="F5" t="s">
        <v>93</v>
      </c>
      <c r="G5">
        <v>3</v>
      </c>
      <c r="H5">
        <v>4</v>
      </c>
      <c r="I5">
        <f t="shared" ref="I5:I8" si="0">G5*H5</f>
        <v>12</v>
      </c>
      <c r="J5" s="16" t="str">
        <f t="shared" ref="J5:J8" si="1">IF(I5&gt;=15,"High",IF(I5&gt;=8,"Medium","Low"))</f>
        <v>Medium</v>
      </c>
      <c r="K5" s="6">
        <v>40000</v>
      </c>
      <c r="L5" s="17">
        <v>0.4</v>
      </c>
      <c r="M5" s="6">
        <f t="shared" ref="M5:M8" si="2">K5*L5</f>
        <v>16000</v>
      </c>
      <c r="N5" t="s">
        <v>97</v>
      </c>
      <c r="O5" t="s">
        <v>101</v>
      </c>
    </row>
    <row r="6" spans="1:15" ht="17" x14ac:dyDescent="0.25">
      <c r="A6" t="s">
        <v>84</v>
      </c>
      <c r="B6" s="15">
        <v>46275</v>
      </c>
      <c r="C6" t="s">
        <v>19</v>
      </c>
      <c r="D6" t="str">
        <f>_xlfn.XLOOKUP(C6, Budget!$A$4:$A$9, Budget!$B$4:$B$9, "Not Found")</f>
        <v>Fit-out and Finishes</v>
      </c>
      <c r="E6" t="s">
        <v>89</v>
      </c>
      <c r="F6" t="s">
        <v>94</v>
      </c>
      <c r="G6">
        <v>3</v>
      </c>
      <c r="H6">
        <v>3</v>
      </c>
      <c r="I6">
        <f t="shared" si="0"/>
        <v>9</v>
      </c>
      <c r="J6" s="16" t="str">
        <f t="shared" si="1"/>
        <v>Medium</v>
      </c>
      <c r="K6" s="6">
        <v>30000</v>
      </c>
      <c r="L6" s="17">
        <v>0.3</v>
      </c>
      <c r="M6" s="6">
        <f t="shared" si="2"/>
        <v>9000</v>
      </c>
      <c r="N6" t="s">
        <v>98</v>
      </c>
      <c r="O6" t="s">
        <v>101</v>
      </c>
    </row>
    <row r="7" spans="1:15" ht="17" x14ac:dyDescent="0.25">
      <c r="A7" t="s">
        <v>85</v>
      </c>
      <c r="B7" s="15">
        <v>46280</v>
      </c>
      <c r="C7" t="s">
        <v>20</v>
      </c>
      <c r="D7" t="str">
        <f>_xlfn.XLOOKUP(C7, Budget!$A$4:$A$9, Budget!$B$4:$B$9, "Not Found")</f>
        <v>Testing and Handover</v>
      </c>
      <c r="E7" t="s">
        <v>90</v>
      </c>
      <c r="F7" t="s">
        <v>94</v>
      </c>
      <c r="G7">
        <v>2</v>
      </c>
      <c r="H7">
        <v>5</v>
      </c>
      <c r="I7">
        <f t="shared" si="0"/>
        <v>10</v>
      </c>
      <c r="J7" s="16" t="str">
        <f t="shared" si="1"/>
        <v>Medium</v>
      </c>
      <c r="K7" s="6">
        <v>50000</v>
      </c>
      <c r="L7" s="17">
        <v>0.2</v>
      </c>
      <c r="M7" s="6">
        <f t="shared" si="2"/>
        <v>10000</v>
      </c>
      <c r="N7" t="s">
        <v>99</v>
      </c>
      <c r="O7" t="s">
        <v>101</v>
      </c>
    </row>
    <row r="8" spans="1:15" ht="17" x14ac:dyDescent="0.25">
      <c r="A8" t="s">
        <v>86</v>
      </c>
      <c r="B8" s="15">
        <v>46143</v>
      </c>
      <c r="C8" t="s">
        <v>16</v>
      </c>
      <c r="D8" t="str">
        <f>_xlfn.XLOOKUP(C8, Budget!$A$4:$A$9, Budget!$B$4:$B$9, "Not Found")</f>
        <v>Enabling Works</v>
      </c>
      <c r="E8" t="s">
        <v>91</v>
      </c>
      <c r="F8" t="s">
        <v>95</v>
      </c>
      <c r="G8">
        <v>1</v>
      </c>
      <c r="H8">
        <v>3</v>
      </c>
      <c r="I8">
        <f t="shared" si="0"/>
        <v>3</v>
      </c>
      <c r="J8" s="16" t="str">
        <f t="shared" si="1"/>
        <v>Low</v>
      </c>
      <c r="K8" s="6">
        <v>20000</v>
      </c>
      <c r="L8" s="17">
        <v>0.1</v>
      </c>
      <c r="M8" s="6">
        <f t="shared" si="2"/>
        <v>2000</v>
      </c>
      <c r="N8" t="s">
        <v>100</v>
      </c>
      <c r="O8" t="s">
        <v>102</v>
      </c>
    </row>
    <row r="11" spans="1:15" x14ac:dyDescent="0.2">
      <c r="A11" t="s">
        <v>103</v>
      </c>
      <c r="B11" s="13">
        <f>SUMIFS(M4:M20,O4:O20,"Open")</f>
        <v>65000</v>
      </c>
    </row>
    <row r="12" spans="1:15" x14ac:dyDescent="0.2">
      <c r="A12" t="s">
        <v>37</v>
      </c>
      <c r="B12" s="13">
        <f>Forecast!O20</f>
        <v>2487000</v>
      </c>
    </row>
    <row r="13" spans="1:15" x14ac:dyDescent="0.2">
      <c r="A13" t="s">
        <v>104</v>
      </c>
      <c r="B13" s="13">
        <f>B11+B12</f>
        <v>2552000</v>
      </c>
    </row>
    <row r="14" spans="1:15" x14ac:dyDescent="0.2">
      <c r="A14" t="s">
        <v>68</v>
      </c>
      <c r="B14" s="13">
        <f>'Change Log'!B11</f>
        <v>2460000</v>
      </c>
    </row>
    <row r="15" spans="1:15" x14ac:dyDescent="0.2">
      <c r="A15" t="s">
        <v>105</v>
      </c>
      <c r="B15" s="13">
        <f>B14-B13</f>
        <v>-92000</v>
      </c>
    </row>
    <row r="16" spans="1:15" x14ac:dyDescent="0.2">
      <c r="A16" t="s">
        <v>106</v>
      </c>
      <c r="B16">
        <f>COUNTIFS(J4:J20,"High",O4:O20,"Open")</f>
        <v>1</v>
      </c>
    </row>
  </sheetData>
  <conditionalFormatting sqref="J4:J20">
    <cfRule type="containsText" dxfId="5" priority="1" operator="containsText" text="Low">
      <formula>NOT(ISERROR(SEARCH("Low",J4)))</formula>
    </cfRule>
    <cfRule type="containsText" dxfId="4" priority="2" operator="containsText" text="Medium">
      <formula>NOT(ISERROR(SEARCH("Medium",J4)))</formula>
    </cfRule>
    <cfRule type="containsText" dxfId="3" priority="3" operator="containsText" text="High">
      <formula>NOT(ISERROR(SEARCH("High",J4)))</formula>
    </cfRule>
  </conditionalFormatting>
  <dataValidations count="2">
    <dataValidation type="whole" allowBlank="1" showInputMessage="1" showErrorMessage="1" sqref="G4:H20" xr:uid="{8B4B3081-5686-AB43-A32A-EB3DE86208AC}">
      <formula1>1</formula1>
      <formula2>5</formula2>
    </dataValidation>
    <dataValidation type="list" allowBlank="1" showInputMessage="1" showErrorMessage="1" sqref="O4:O20" xr:uid="{F63519DF-6358-0241-9B97-FCA9BBA5C5DD}">
      <formula1>"Open, Closed"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6D70-0290-2E46-BBFB-5616E3E8A494}">
  <dimension ref="A1:P32"/>
  <sheetViews>
    <sheetView workbookViewId="0">
      <selection activeCell="K6" sqref="K6"/>
    </sheetView>
  </sheetViews>
  <sheetFormatPr baseColWidth="10" defaultRowHeight="16" x14ac:dyDescent="0.2"/>
  <cols>
    <col min="1" max="1" width="59.83203125" customWidth="1"/>
    <col min="2" max="2" width="21.5" customWidth="1"/>
  </cols>
  <sheetData>
    <row r="1" spans="1:2" ht="21" x14ac:dyDescent="0.3">
      <c r="A1" s="18" t="s">
        <v>107</v>
      </c>
    </row>
    <row r="3" spans="1:2" x14ac:dyDescent="0.2">
      <c r="A3" t="s">
        <v>6</v>
      </c>
      <c r="B3" s="15">
        <f>DataDate</f>
        <v>46295</v>
      </c>
    </row>
    <row r="4" spans="1:2" x14ac:dyDescent="0.2">
      <c r="A4" t="s">
        <v>108</v>
      </c>
      <c r="B4" s="6">
        <f>Budget!O10</f>
        <v>2400000</v>
      </c>
    </row>
    <row r="5" spans="1:2" x14ac:dyDescent="0.2">
      <c r="A5" t="s">
        <v>68</v>
      </c>
      <c r="B5" s="13">
        <f>'Change Log'!B11</f>
        <v>2460000</v>
      </c>
    </row>
    <row r="6" spans="1:2" x14ac:dyDescent="0.2">
      <c r="A6" t="s">
        <v>41</v>
      </c>
      <c r="B6" s="6">
        <f>Actuals!O10</f>
        <v>779000</v>
      </c>
    </row>
    <row r="7" spans="1:2" x14ac:dyDescent="0.2">
      <c r="A7" t="s">
        <v>37</v>
      </c>
      <c r="B7" s="6">
        <f>Forecast!O20</f>
        <v>2487000</v>
      </c>
    </row>
    <row r="8" spans="1:2" x14ac:dyDescent="0.2">
      <c r="A8" t="s">
        <v>69</v>
      </c>
      <c r="B8" s="13">
        <f>'Change Log'!B13</f>
        <v>-27000</v>
      </c>
    </row>
    <row r="9" spans="1:2" x14ac:dyDescent="0.2">
      <c r="A9" t="s">
        <v>104</v>
      </c>
      <c r="B9" s="13">
        <f>'Risk Register'!B13</f>
        <v>2552000</v>
      </c>
    </row>
    <row r="10" spans="1:2" x14ac:dyDescent="0.2">
      <c r="A10" t="s">
        <v>106</v>
      </c>
      <c r="B10">
        <f>'Risk Register'!B16</f>
        <v>1</v>
      </c>
    </row>
    <row r="11" spans="1:2" x14ac:dyDescent="0.2">
      <c r="A11" t="s">
        <v>109</v>
      </c>
      <c r="B11" t="str">
        <f>IF(B8&gt;=0,"Green",IF(B8/B5&gt;=-0.05,"Amber","Red"))</f>
        <v>Amber</v>
      </c>
    </row>
    <row r="20" spans="1:16" x14ac:dyDescent="0.2">
      <c r="A20" t="s">
        <v>110</v>
      </c>
      <c r="C20" s="9">
        <f>Budget!C3</f>
        <v>46113</v>
      </c>
      <c r="D20" s="9">
        <f>Budget!D3</f>
        <v>46143</v>
      </c>
      <c r="E20" s="9">
        <f>Budget!E3</f>
        <v>46174</v>
      </c>
      <c r="F20" s="9">
        <f>Budget!F3</f>
        <v>46204</v>
      </c>
      <c r="G20" s="9">
        <f>Budget!G3</f>
        <v>46235</v>
      </c>
      <c r="H20" s="9">
        <f>Budget!H3</f>
        <v>46266</v>
      </c>
      <c r="I20" s="9">
        <f>Budget!I3</f>
        <v>46296</v>
      </c>
      <c r="J20" s="9">
        <f>Budget!J3</f>
        <v>46327</v>
      </c>
      <c r="K20" s="9">
        <f>Budget!K3</f>
        <v>46357</v>
      </c>
      <c r="L20" s="9">
        <f>Budget!L3</f>
        <v>46388</v>
      </c>
      <c r="M20" s="9">
        <f>Budget!M3</f>
        <v>46419</v>
      </c>
      <c r="N20" s="9">
        <f>Budget!N3</f>
        <v>46447</v>
      </c>
    </row>
    <row r="21" spans="1:16" x14ac:dyDescent="0.2">
      <c r="A21" t="s">
        <v>111</v>
      </c>
      <c r="C21" s="6">
        <f>Budget!C11</f>
        <v>60000</v>
      </c>
      <c r="D21" s="6">
        <f>Budget!D11</f>
        <v>130000</v>
      </c>
      <c r="E21" s="6">
        <f>Budget!E11</f>
        <v>250000</v>
      </c>
      <c r="F21" s="6">
        <f>Budget!F11</f>
        <v>390000</v>
      </c>
      <c r="G21" s="6">
        <f>Budget!G11</f>
        <v>580000</v>
      </c>
      <c r="H21" s="6">
        <f>Budget!H11</f>
        <v>800000</v>
      </c>
      <c r="I21" s="6">
        <f>Budget!I11</f>
        <v>1090000</v>
      </c>
      <c r="J21" s="6">
        <f>Budget!J11</f>
        <v>1430000</v>
      </c>
      <c r="K21" s="6">
        <f>Budget!K11</f>
        <v>1750000</v>
      </c>
      <c r="L21" s="6">
        <f>Budget!L11</f>
        <v>2030000</v>
      </c>
      <c r="M21" s="6">
        <f>Budget!M11</f>
        <v>2270000</v>
      </c>
      <c r="N21" s="6">
        <f>Budget!N11</f>
        <v>2400000</v>
      </c>
      <c r="O21" s="6"/>
    </row>
    <row r="22" spans="1:16" x14ac:dyDescent="0.2">
      <c r="A22" t="s">
        <v>112</v>
      </c>
      <c r="C22" s="6">
        <f>Actuals!C11</f>
        <v>62000</v>
      </c>
      <c r="D22" s="6">
        <f>Actuals!D11</f>
        <v>135000</v>
      </c>
      <c r="E22" s="6">
        <f>Actuals!E11</f>
        <v>255000</v>
      </c>
      <c r="F22" s="6">
        <f>Actuals!F11</f>
        <v>397000</v>
      </c>
      <c r="G22" s="6">
        <f>Actuals!G11</f>
        <v>574000</v>
      </c>
      <c r="H22" s="6">
        <f>Actuals!H11</f>
        <v>779000</v>
      </c>
      <c r="I22" s="6" t="e">
        <f>Actuals!I11</f>
        <v>#N/A</v>
      </c>
      <c r="J22" s="6" t="e">
        <f>Actuals!J11</f>
        <v>#N/A</v>
      </c>
      <c r="K22" s="6" t="e">
        <f>Actuals!K11</f>
        <v>#N/A</v>
      </c>
      <c r="L22" s="6" t="e">
        <f>Actuals!L11</f>
        <v>#N/A</v>
      </c>
      <c r="M22" s="6" t="e">
        <f>Actuals!M11</f>
        <v>#N/A</v>
      </c>
      <c r="N22" s="6" t="e">
        <f>Actuals!N11</f>
        <v>#N/A</v>
      </c>
      <c r="O22" s="6"/>
      <c r="P22" s="6"/>
    </row>
    <row r="23" spans="1:16" x14ac:dyDescent="0.2">
      <c r="A23" t="s">
        <v>113</v>
      </c>
      <c r="C23" s="6">
        <f>Forecast!C21</f>
        <v>62000</v>
      </c>
      <c r="D23" s="6">
        <f>Forecast!D21</f>
        <v>135000</v>
      </c>
      <c r="E23" s="6">
        <f>Forecast!E21</f>
        <v>255000</v>
      </c>
      <c r="F23" s="6">
        <f>Forecast!F21</f>
        <v>397000</v>
      </c>
      <c r="G23" s="6">
        <f>Forecast!G21</f>
        <v>574000</v>
      </c>
      <c r="H23" s="6">
        <f>Forecast!H21</f>
        <v>779000</v>
      </c>
      <c r="I23" s="6">
        <f>Forecast!I21</f>
        <v>997000</v>
      </c>
      <c r="J23" s="6">
        <f>Forecast!J21</f>
        <v>1297000</v>
      </c>
      <c r="K23" s="6">
        <f>Forecast!K21</f>
        <v>1607000</v>
      </c>
      <c r="L23" s="6">
        <f>Forecast!L21</f>
        <v>1917000</v>
      </c>
      <c r="M23" s="6">
        <f>Forecast!M21</f>
        <v>2197000</v>
      </c>
      <c r="N23" s="6">
        <f>Forecast!N21</f>
        <v>2487000</v>
      </c>
    </row>
    <row r="26" spans="1:16" x14ac:dyDescent="0.2">
      <c r="A26" t="s">
        <v>13</v>
      </c>
      <c r="B26" t="s">
        <v>46</v>
      </c>
    </row>
    <row r="27" spans="1:16" x14ac:dyDescent="0.2">
      <c r="A27" t="str">
        <f>'Cost summary'!B4</f>
        <v>Design and Surveys</v>
      </c>
      <c r="B27" s="13">
        <f>'Cost summary'!H4</f>
        <v>-27000</v>
      </c>
    </row>
    <row r="28" spans="1:16" x14ac:dyDescent="0.2">
      <c r="A28" t="str">
        <f>'Cost summary'!B5</f>
        <v>Enabling Works</v>
      </c>
      <c r="B28" s="13">
        <f>'Cost summary'!H5</f>
        <v>-40000</v>
      </c>
    </row>
    <row r="29" spans="1:16" x14ac:dyDescent="0.2">
      <c r="A29" t="str">
        <f>'Cost summary'!B6</f>
        <v>Civils and Structures</v>
      </c>
      <c r="B29" s="13">
        <f>'Cost summary'!H6</f>
        <v>-20000</v>
      </c>
    </row>
    <row r="30" spans="1:16" x14ac:dyDescent="0.2">
      <c r="A30" t="str">
        <f>'Cost summary'!B7</f>
        <v>Mechanical and Electrical</v>
      </c>
      <c r="B30" s="13">
        <f>'Cost summary'!H7</f>
        <v>0</v>
      </c>
    </row>
    <row r="31" spans="1:16" x14ac:dyDescent="0.2">
      <c r="A31" t="str">
        <f>'Cost summary'!B8</f>
        <v>Fit-out and Finishes</v>
      </c>
      <c r="B31" s="13">
        <f>'Cost summary'!H8</f>
        <v>0</v>
      </c>
    </row>
    <row r="32" spans="1:16" x14ac:dyDescent="0.2">
      <c r="A32" t="str">
        <f>'Cost summary'!B9</f>
        <v>Testing and Handover</v>
      </c>
      <c r="B32" s="13">
        <f>'Cost summary'!H9</f>
        <v>0</v>
      </c>
    </row>
  </sheetData>
  <conditionalFormatting sqref="B11">
    <cfRule type="containsText" dxfId="2" priority="1" operator="containsText" text="Green">
      <formula>NOT(ISERROR(SEARCH("Green",B11)))</formula>
    </cfRule>
    <cfRule type="containsText" dxfId="1" priority="2" operator="containsText" text="Amber">
      <formula>NOT(ISERROR(SEARCH("Amber",B11)))</formula>
    </cfRule>
    <cfRule type="containsText" dxfId="0" priority="3" operator="containsText" text="Red">
      <formula>NOT(ISERROR(SEARCH("Red",B11)))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Project Info</vt:lpstr>
      <vt:lpstr>Budget</vt:lpstr>
      <vt:lpstr>Actuals</vt:lpstr>
      <vt:lpstr>Forecast</vt:lpstr>
      <vt:lpstr>Cost summary</vt:lpstr>
      <vt:lpstr>Change Log</vt:lpstr>
      <vt:lpstr>Risk Register</vt:lpstr>
      <vt:lpstr>Dashboard</vt:lpstr>
      <vt:lpstr>DataDate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AJAY (PGT)</dc:creator>
  <cp:lastModifiedBy>SINGH, AJAY (PGT)</cp:lastModifiedBy>
  <dcterms:created xsi:type="dcterms:W3CDTF">2026-10-06T22:57:12Z</dcterms:created>
  <dcterms:modified xsi:type="dcterms:W3CDTF">2026-10-08T00:45:34Z</dcterms:modified>
</cp:coreProperties>
</file>